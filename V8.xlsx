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/Users/thanphuckhang/Documents/University/Second Year/Second semester/Econometrics/"/>
    </mc:Choice>
  </mc:AlternateContent>
  <xr:revisionPtr revIDLastSave="0" documentId="13_ncr:1_{8C6F42B1-497E-574C-9C79-442BEA964B36}" xr6:coauthVersionLast="47" xr6:coauthVersionMax="47" xr10:uidLastSave="{00000000-0000-0000-0000-000000000000}"/>
  <bookViews>
    <workbookView xWindow="0" yWindow="660" windowWidth="25600" windowHeight="14640" xr2:uid="{2324C929-D43A-2F4E-89E5-E470B67609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2" i="1"/>
  <c r="M81" i="1" l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<sst xmlns="http://schemas.openxmlformats.org/spreadsheetml/2006/main" count="95" uniqueCount="23">
  <si>
    <t>Province</t>
  </si>
  <si>
    <t>Year</t>
  </si>
  <si>
    <t>NM</t>
  </si>
  <si>
    <t>OM</t>
  </si>
  <si>
    <t>Pd</t>
  </si>
  <si>
    <t>Unem</t>
  </si>
  <si>
    <t>Urb</t>
  </si>
  <si>
    <t>Cov</t>
  </si>
  <si>
    <t>UNUR</t>
  </si>
  <si>
    <t>Omlag</t>
  </si>
  <si>
    <t>Pd2</t>
  </si>
  <si>
    <t>PdUR</t>
  </si>
  <si>
    <t>UN2</t>
  </si>
  <si>
    <t>DumDBSCL</t>
  </si>
  <si>
    <t>DumHCM</t>
  </si>
  <si>
    <t>An Giang</t>
  </si>
  <si>
    <t>Kiên Giang</t>
  </si>
  <si>
    <t>Vĩnh Long</t>
  </si>
  <si>
    <t>Đồng Tháp</t>
  </si>
  <si>
    <t>Hồ Chí Minh</t>
  </si>
  <si>
    <t>Bà Rịa - Vũng Tàu</t>
  </si>
  <si>
    <t>Sóc Trăng</t>
  </si>
  <si>
    <t>Bạc Liêu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</si>
</sst>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BABD-B926-1F4B-98EE-9AA85FB62D29}">
  <dimension ref="A1:AB81"/>
  <sheetViews>
    <sheetView tabSelected="1" workbookViewId="0">
      <selection activeCell="J73" sqref="J73:J81"/>
    </sheetView>
  </sheetViews>
  <sheetFormatPr defaultColWidth="11" defaultRowHeight="15.95"/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5" t="s">
        <v>15</v>
      </c>
      <c r="B2" s="5">
        <v>2015</v>
      </c>
      <c r="C2" s="5">
        <v>-9.6999999999999993</v>
      </c>
      <c r="D2" s="5">
        <v>11.8</v>
      </c>
      <c r="E2" s="5">
        <v>0.56599999999999995</v>
      </c>
      <c r="F2" s="5">
        <v>2.33</v>
      </c>
      <c r="G2" s="1">
        <v>30.32</v>
      </c>
      <c r="H2" s="1">
        <v>0</v>
      </c>
      <c r="I2">
        <f>F2*G2</f>
        <v>70.645600000000002</v>
      </c>
      <c r="J2">
        <v>0</v>
      </c>
      <c r="K2">
        <f>E2^2</f>
        <v>0.32035599999999992</v>
      </c>
      <c r="L2" s="6">
        <v>17.16112</v>
      </c>
      <c r="M2">
        <f>F2*F2</f>
        <v>5.4289000000000005</v>
      </c>
      <c r="N2">
        <f>IF(OR(A2="An Giang",A2="Kiên Giang",A2="Vĩnh Long",A2="Đồng Tháp",A2="Sóc Trăng",A2="Bạc Liêu"),1,0)</f>
        <v>1</v>
      </c>
      <c r="O2">
        <f>IF(OR(A2="Hồ Chí Minh"),1,0)</f>
        <v>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5" t="s">
        <v>15</v>
      </c>
      <c r="B3" s="5">
        <v>2016</v>
      </c>
      <c r="C3" s="5">
        <v>-9.1</v>
      </c>
      <c r="D3" s="5">
        <v>10.4</v>
      </c>
      <c r="E3" s="5">
        <v>0.55900000000000005</v>
      </c>
      <c r="F3" s="5">
        <v>1.88</v>
      </c>
      <c r="G3" s="1">
        <v>30.65</v>
      </c>
      <c r="H3" s="1">
        <v>0</v>
      </c>
      <c r="I3">
        <f t="shared" ref="I3:I66" si="0">F3*G3</f>
        <v>57.621999999999993</v>
      </c>
      <c r="J3" s="5">
        <v>11.8</v>
      </c>
      <c r="K3">
        <f t="shared" ref="K3:K66" si="1">E3^2</f>
        <v>0.31248100000000006</v>
      </c>
      <c r="L3" s="6">
        <v>17.13335</v>
      </c>
      <c r="M3">
        <f t="shared" ref="M3:M66" si="2">F3*F3</f>
        <v>3.5343999999999998</v>
      </c>
      <c r="N3">
        <f t="shared" ref="N3:N66" si="3">IF(OR(A3="An Giang",A3="Kiên Giang",A3="Vĩnh Long",A3="Đồng Tháp",A3="Sóc Trăng",A3="Bạc Liêu"),1,0)</f>
        <v>1</v>
      </c>
      <c r="O3">
        <f t="shared" ref="O3:O66" si="4">IF(OR(A3="Hồ Chí Minh"),1,0)</f>
        <v>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5" t="s">
        <v>15</v>
      </c>
      <c r="B4" s="5">
        <v>2017</v>
      </c>
      <c r="C4" s="5">
        <v>-3.7</v>
      </c>
      <c r="D4" s="5">
        <v>5</v>
      </c>
      <c r="E4" s="5">
        <v>0.55300000000000005</v>
      </c>
      <c r="F4" s="5">
        <v>2.2400000000000002</v>
      </c>
      <c r="G4" s="1">
        <v>30.99</v>
      </c>
      <c r="H4" s="1">
        <v>0</v>
      </c>
      <c r="I4">
        <f t="shared" si="0"/>
        <v>69.417600000000007</v>
      </c>
      <c r="J4" s="5">
        <v>10.4</v>
      </c>
      <c r="K4">
        <f t="shared" si="1"/>
        <v>0.30580900000000005</v>
      </c>
      <c r="L4" s="6">
        <v>17.13747</v>
      </c>
      <c r="M4">
        <f t="shared" si="2"/>
        <v>5.0176000000000007</v>
      </c>
      <c r="N4">
        <f t="shared" si="3"/>
        <v>1</v>
      </c>
      <c r="O4">
        <f t="shared" si="4"/>
        <v>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5" t="s">
        <v>15</v>
      </c>
      <c r="B5" s="5">
        <v>2018</v>
      </c>
      <c r="C5" s="5">
        <v>-9.8000000000000007</v>
      </c>
      <c r="D5" s="5">
        <v>11.9</v>
      </c>
      <c r="E5" s="5">
        <v>0.54600000000000004</v>
      </c>
      <c r="F5" s="5">
        <v>2.5099999999999998</v>
      </c>
      <c r="G5" s="1">
        <v>31.33</v>
      </c>
      <c r="H5" s="1">
        <v>0</v>
      </c>
      <c r="I5">
        <f t="shared" si="0"/>
        <v>78.638299999999987</v>
      </c>
      <c r="J5" s="5">
        <v>5</v>
      </c>
      <c r="K5">
        <f t="shared" si="1"/>
        <v>0.29811600000000005</v>
      </c>
      <c r="L5" s="6">
        <v>17.106179999999998</v>
      </c>
      <c r="M5">
        <f t="shared" si="2"/>
        <v>6.3000999999999987</v>
      </c>
      <c r="N5">
        <f t="shared" si="3"/>
        <v>1</v>
      </c>
      <c r="O5">
        <f t="shared" si="4"/>
        <v>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5" t="s">
        <v>15</v>
      </c>
      <c r="B6" s="5">
        <v>2019</v>
      </c>
      <c r="C6" s="5">
        <v>-14.4</v>
      </c>
      <c r="D6" s="5">
        <v>15.6</v>
      </c>
      <c r="E6" s="5">
        <v>0.53900000000000003</v>
      </c>
      <c r="F6" s="5">
        <v>3.18</v>
      </c>
      <c r="G6" s="1">
        <v>31.59</v>
      </c>
      <c r="H6" s="1">
        <v>1</v>
      </c>
      <c r="I6">
        <f t="shared" si="0"/>
        <v>100.45620000000001</v>
      </c>
      <c r="J6" s="5">
        <v>11.9</v>
      </c>
      <c r="K6">
        <f t="shared" si="1"/>
        <v>0.29052100000000003</v>
      </c>
      <c r="L6" s="6">
        <v>17.027010000000001</v>
      </c>
      <c r="M6">
        <f t="shared" si="2"/>
        <v>10.112400000000001</v>
      </c>
      <c r="N6">
        <f t="shared" si="3"/>
        <v>1</v>
      </c>
      <c r="O6">
        <f t="shared" si="4"/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5" t="s">
        <v>15</v>
      </c>
      <c r="B7" s="5">
        <v>2020</v>
      </c>
      <c r="C7" s="5">
        <v>-7.1</v>
      </c>
      <c r="D7" s="5">
        <v>12.5</v>
      </c>
      <c r="E7" s="5">
        <v>0.55600000000000005</v>
      </c>
      <c r="F7" s="5">
        <v>2.76</v>
      </c>
      <c r="G7" s="1">
        <v>31.58</v>
      </c>
      <c r="H7" s="1">
        <v>1</v>
      </c>
      <c r="I7">
        <f t="shared" si="0"/>
        <v>87.160799999999995</v>
      </c>
      <c r="J7" s="5">
        <v>15.6</v>
      </c>
      <c r="K7">
        <f t="shared" si="1"/>
        <v>0.30913600000000008</v>
      </c>
      <c r="L7" s="6">
        <v>17.558479999999999</v>
      </c>
      <c r="M7">
        <f t="shared" si="2"/>
        <v>7.6175999999999986</v>
      </c>
      <c r="N7">
        <f t="shared" si="3"/>
        <v>1</v>
      </c>
      <c r="O7">
        <f t="shared" si="4"/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5" t="s">
        <v>15</v>
      </c>
      <c r="B8" s="5">
        <v>2021</v>
      </c>
      <c r="C8" s="5">
        <v>-2.4</v>
      </c>
      <c r="D8" s="5">
        <v>6.6</v>
      </c>
      <c r="E8" s="5">
        <v>0.55800000000000005</v>
      </c>
      <c r="F8" s="5">
        <v>2.88</v>
      </c>
      <c r="G8" s="1">
        <v>33.83</v>
      </c>
      <c r="H8" s="1">
        <v>1</v>
      </c>
      <c r="I8">
        <f t="shared" si="0"/>
        <v>97.430399999999992</v>
      </c>
      <c r="J8" s="5">
        <v>12.5</v>
      </c>
      <c r="K8">
        <f t="shared" si="1"/>
        <v>0.31136400000000009</v>
      </c>
      <c r="L8" s="6">
        <v>18.877140000000001</v>
      </c>
      <c r="M8">
        <f t="shared" si="2"/>
        <v>8.2943999999999996</v>
      </c>
      <c r="N8">
        <f t="shared" si="3"/>
        <v>1</v>
      </c>
      <c r="O8">
        <f t="shared" si="4"/>
        <v>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5" t="s">
        <v>15</v>
      </c>
      <c r="B9" s="5">
        <v>2022</v>
      </c>
      <c r="C9" s="5">
        <v>-5.0999999999999996</v>
      </c>
      <c r="D9" s="5">
        <v>9.5</v>
      </c>
      <c r="E9" s="5">
        <v>0.56000000000000005</v>
      </c>
      <c r="F9" s="5">
        <v>2.23</v>
      </c>
      <c r="G9" s="1">
        <v>33.840000000000003</v>
      </c>
      <c r="H9" s="1">
        <v>1</v>
      </c>
      <c r="I9">
        <f t="shared" si="0"/>
        <v>75.463200000000001</v>
      </c>
      <c r="J9" s="5">
        <v>6.6</v>
      </c>
      <c r="K9">
        <f t="shared" si="1"/>
        <v>0.31360000000000005</v>
      </c>
      <c r="L9" s="6">
        <v>18.950399999999998</v>
      </c>
      <c r="M9">
        <f t="shared" si="2"/>
        <v>4.9729000000000001</v>
      </c>
      <c r="N9">
        <f t="shared" si="3"/>
        <v>1</v>
      </c>
      <c r="O9">
        <f t="shared" si="4"/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5" t="s">
        <v>15</v>
      </c>
      <c r="B10" s="5">
        <v>2023</v>
      </c>
      <c r="C10" s="5">
        <v>-6.1</v>
      </c>
      <c r="D10" s="5">
        <v>12</v>
      </c>
      <c r="E10" s="5">
        <v>0.56000000000000005</v>
      </c>
      <c r="F10" s="5">
        <v>2.4500000000000002</v>
      </c>
      <c r="G10" s="1">
        <v>37</v>
      </c>
      <c r="H10" s="1">
        <v>0</v>
      </c>
      <c r="I10">
        <f t="shared" si="0"/>
        <v>90.65</v>
      </c>
      <c r="J10" s="5">
        <v>9.5</v>
      </c>
      <c r="K10">
        <f t="shared" si="1"/>
        <v>0.31360000000000005</v>
      </c>
      <c r="L10" s="6">
        <v>20.72</v>
      </c>
      <c r="M10">
        <f t="shared" si="2"/>
        <v>6.0025000000000013</v>
      </c>
      <c r="N10">
        <f t="shared" si="3"/>
        <v>1</v>
      </c>
      <c r="O10">
        <f t="shared" si="4"/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5" t="s">
        <v>15</v>
      </c>
      <c r="B11" s="5">
        <v>2024</v>
      </c>
      <c r="C11" s="5">
        <v>-3.7</v>
      </c>
      <c r="D11" s="5">
        <v>9.9</v>
      </c>
      <c r="E11" s="5">
        <v>0.56100000000000005</v>
      </c>
      <c r="F11" s="5">
        <v>2.2400000000000002</v>
      </c>
      <c r="G11" s="1">
        <v>36.94</v>
      </c>
      <c r="H11" s="1">
        <v>0</v>
      </c>
      <c r="I11">
        <f t="shared" si="0"/>
        <v>82.745599999999996</v>
      </c>
      <c r="J11" s="5">
        <v>12</v>
      </c>
      <c r="K11">
        <f t="shared" si="1"/>
        <v>0.31472100000000008</v>
      </c>
      <c r="L11" s="6">
        <v>20.72334</v>
      </c>
      <c r="M11">
        <f t="shared" si="2"/>
        <v>5.0176000000000007</v>
      </c>
      <c r="N11">
        <f t="shared" si="3"/>
        <v>1</v>
      </c>
      <c r="O11">
        <f t="shared" si="4"/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5" t="s">
        <v>16</v>
      </c>
      <c r="B12" s="5">
        <v>2015</v>
      </c>
      <c r="C12" s="5">
        <v>-7.9</v>
      </c>
      <c r="D12" s="5">
        <v>9.9</v>
      </c>
      <c r="E12" s="5">
        <v>0.26900000000000002</v>
      </c>
      <c r="F12" s="5">
        <v>3.36</v>
      </c>
      <c r="G12" s="1">
        <v>27.76</v>
      </c>
      <c r="H12" s="1">
        <v>0</v>
      </c>
      <c r="I12">
        <f t="shared" si="0"/>
        <v>93.273600000000002</v>
      </c>
      <c r="J12">
        <v>0</v>
      </c>
      <c r="K12">
        <f t="shared" si="1"/>
        <v>7.2361000000000009E-2</v>
      </c>
      <c r="L12" s="6">
        <v>7.4674399999999999</v>
      </c>
      <c r="M12">
        <f t="shared" si="2"/>
        <v>11.289599999999998</v>
      </c>
      <c r="N12">
        <f t="shared" si="3"/>
        <v>1</v>
      </c>
      <c r="O12">
        <f t="shared" si="4"/>
        <v>0</v>
      </c>
    </row>
    <row r="13" spans="1:28">
      <c r="A13" s="5" t="s">
        <v>16</v>
      </c>
      <c r="B13" s="5">
        <v>2016</v>
      </c>
      <c r="C13" s="5">
        <v>-9.1</v>
      </c>
      <c r="D13" s="5">
        <v>11</v>
      </c>
      <c r="E13" s="5">
        <v>0.26900000000000002</v>
      </c>
      <c r="F13" s="5">
        <v>3.36</v>
      </c>
      <c r="G13" s="1">
        <v>27.91</v>
      </c>
      <c r="H13" s="1">
        <v>0</v>
      </c>
      <c r="I13">
        <f t="shared" si="0"/>
        <v>93.777599999999993</v>
      </c>
      <c r="J13" s="5">
        <v>9.9</v>
      </c>
      <c r="K13">
        <f t="shared" si="1"/>
        <v>7.2361000000000009E-2</v>
      </c>
      <c r="L13" s="6">
        <v>7.50779</v>
      </c>
      <c r="M13">
        <f t="shared" si="2"/>
        <v>11.289599999999998</v>
      </c>
      <c r="N13">
        <f t="shared" si="3"/>
        <v>1</v>
      </c>
      <c r="O13">
        <f t="shared" si="4"/>
        <v>0</v>
      </c>
    </row>
    <row r="14" spans="1:28">
      <c r="A14" s="5" t="s">
        <v>16</v>
      </c>
      <c r="B14" s="5">
        <v>2017</v>
      </c>
      <c r="C14" s="5">
        <v>-8.6999999999999993</v>
      </c>
      <c r="D14" s="5">
        <v>10.8</v>
      </c>
      <c r="E14" s="5">
        <v>0.27</v>
      </c>
      <c r="F14" s="5">
        <v>2.98</v>
      </c>
      <c r="G14" s="1">
        <v>28.05</v>
      </c>
      <c r="H14" s="1">
        <v>0</v>
      </c>
      <c r="I14">
        <f t="shared" si="0"/>
        <v>83.588999999999999</v>
      </c>
      <c r="J14" s="5">
        <v>11</v>
      </c>
      <c r="K14">
        <f t="shared" si="1"/>
        <v>7.2900000000000006E-2</v>
      </c>
      <c r="L14" s="6">
        <v>7.5735000000000001</v>
      </c>
      <c r="M14">
        <f t="shared" si="2"/>
        <v>8.8803999999999998</v>
      </c>
      <c r="N14">
        <f t="shared" si="3"/>
        <v>1</v>
      </c>
      <c r="O14">
        <f t="shared" si="4"/>
        <v>0</v>
      </c>
    </row>
    <row r="15" spans="1:28">
      <c r="A15" s="5" t="s">
        <v>16</v>
      </c>
      <c r="B15" s="5">
        <v>2018</v>
      </c>
      <c r="C15" s="5">
        <v>-5.9</v>
      </c>
      <c r="D15" s="5">
        <v>6.8</v>
      </c>
      <c r="E15" s="5">
        <v>0.27100000000000002</v>
      </c>
      <c r="F15" s="5">
        <v>3.14</v>
      </c>
      <c r="G15" s="1">
        <v>28.2</v>
      </c>
      <c r="H15" s="1">
        <v>0</v>
      </c>
      <c r="I15">
        <f t="shared" si="0"/>
        <v>88.548000000000002</v>
      </c>
      <c r="J15" s="5">
        <v>10.8</v>
      </c>
      <c r="K15">
        <f t="shared" si="1"/>
        <v>7.3441000000000006E-2</v>
      </c>
      <c r="L15" s="6">
        <v>7.6421999999999999</v>
      </c>
      <c r="M15">
        <f t="shared" si="2"/>
        <v>9.8596000000000004</v>
      </c>
      <c r="N15">
        <f t="shared" si="3"/>
        <v>1</v>
      </c>
      <c r="O15">
        <f t="shared" si="4"/>
        <v>0</v>
      </c>
    </row>
    <row r="16" spans="1:28">
      <c r="A16" s="5" t="s">
        <v>16</v>
      </c>
      <c r="B16" s="5">
        <v>2019</v>
      </c>
      <c r="C16" s="5">
        <v>-8.5</v>
      </c>
      <c r="D16" s="5">
        <v>11.3</v>
      </c>
      <c r="E16" s="5">
        <v>0.27100000000000002</v>
      </c>
      <c r="F16" s="5">
        <v>3.56</v>
      </c>
      <c r="G16" s="1">
        <v>28.35</v>
      </c>
      <c r="H16" s="1">
        <v>1</v>
      </c>
      <c r="I16">
        <f t="shared" si="0"/>
        <v>100.926</v>
      </c>
      <c r="J16" s="5">
        <v>6.8</v>
      </c>
      <c r="K16">
        <f t="shared" si="1"/>
        <v>7.3441000000000006E-2</v>
      </c>
      <c r="L16" s="6">
        <v>7.6828500000000002</v>
      </c>
      <c r="M16">
        <f t="shared" si="2"/>
        <v>12.6736</v>
      </c>
      <c r="N16">
        <f t="shared" si="3"/>
        <v>1</v>
      </c>
      <c r="O16">
        <f t="shared" si="4"/>
        <v>0</v>
      </c>
    </row>
    <row r="17" spans="1:15">
      <c r="A17" s="5" t="s">
        <v>16</v>
      </c>
      <c r="B17" s="5">
        <v>2020</v>
      </c>
      <c r="C17" s="5">
        <v>-11.2</v>
      </c>
      <c r="D17" s="5">
        <v>12.5</v>
      </c>
      <c r="E17" s="5">
        <v>0.2722</v>
      </c>
      <c r="F17" s="5">
        <v>4.3499999999999996</v>
      </c>
      <c r="G17" s="1">
        <v>28.45</v>
      </c>
      <c r="H17" s="1">
        <v>1</v>
      </c>
      <c r="I17">
        <f t="shared" si="0"/>
        <v>123.75749999999999</v>
      </c>
      <c r="J17" s="5">
        <v>11.3</v>
      </c>
      <c r="K17">
        <f t="shared" si="1"/>
        <v>7.4092839999999993E-2</v>
      </c>
      <c r="L17" s="6">
        <v>7.7440899999999999</v>
      </c>
      <c r="M17">
        <f t="shared" si="2"/>
        <v>18.922499999999996</v>
      </c>
      <c r="N17">
        <f t="shared" si="3"/>
        <v>1</v>
      </c>
      <c r="O17">
        <f t="shared" si="4"/>
        <v>0</v>
      </c>
    </row>
    <row r="18" spans="1:15">
      <c r="A18" s="5" t="s">
        <v>16</v>
      </c>
      <c r="B18" s="5">
        <v>2021</v>
      </c>
      <c r="C18" s="5">
        <v>-15.4</v>
      </c>
      <c r="D18" s="5">
        <v>16.899999999999999</v>
      </c>
      <c r="E18" s="5">
        <v>0.27200000000000002</v>
      </c>
      <c r="F18" s="5">
        <v>4.12</v>
      </c>
      <c r="G18" s="1">
        <v>28.78</v>
      </c>
      <c r="H18" s="1">
        <v>1</v>
      </c>
      <c r="I18">
        <f t="shared" si="0"/>
        <v>118.57360000000001</v>
      </c>
      <c r="J18" s="5">
        <v>12.5</v>
      </c>
      <c r="K18">
        <f t="shared" si="1"/>
        <v>7.3984000000000008E-2</v>
      </c>
      <c r="L18" s="6">
        <v>7.8281599999999996</v>
      </c>
      <c r="M18">
        <f t="shared" si="2"/>
        <v>16.974399999999999</v>
      </c>
      <c r="N18">
        <f t="shared" si="3"/>
        <v>1</v>
      </c>
      <c r="O18">
        <f t="shared" si="4"/>
        <v>0</v>
      </c>
    </row>
    <row r="19" spans="1:15">
      <c r="A19" s="5" t="s">
        <v>16</v>
      </c>
      <c r="B19" s="5">
        <v>2022</v>
      </c>
      <c r="C19" s="5">
        <v>-2.1</v>
      </c>
      <c r="D19" s="5">
        <v>4.5</v>
      </c>
      <c r="E19" s="5">
        <v>0.2727</v>
      </c>
      <c r="F19" s="5">
        <v>4.2</v>
      </c>
      <c r="G19" s="1">
        <v>29.84</v>
      </c>
      <c r="H19" s="1">
        <v>1</v>
      </c>
      <c r="I19">
        <f t="shared" si="0"/>
        <v>125.328</v>
      </c>
      <c r="J19" s="5">
        <v>16.899999999999999</v>
      </c>
      <c r="K19">
        <f t="shared" si="1"/>
        <v>7.4365290000000001E-2</v>
      </c>
      <c r="L19" s="6">
        <v>8.1373680000000004</v>
      </c>
      <c r="M19">
        <f t="shared" si="2"/>
        <v>17.64</v>
      </c>
      <c r="N19">
        <f t="shared" si="3"/>
        <v>1</v>
      </c>
      <c r="O19">
        <f t="shared" si="4"/>
        <v>0</v>
      </c>
    </row>
    <row r="20" spans="1:15">
      <c r="A20" s="5" t="s">
        <v>16</v>
      </c>
      <c r="B20" s="5">
        <v>2023</v>
      </c>
      <c r="C20" s="5">
        <v>-7.1</v>
      </c>
      <c r="D20" s="5">
        <v>8.1999999999999993</v>
      </c>
      <c r="E20" s="5">
        <v>0.2737</v>
      </c>
      <c r="F20" s="5">
        <v>3.8</v>
      </c>
      <c r="G20" s="1">
        <v>30.12</v>
      </c>
      <c r="H20" s="1">
        <v>0</v>
      </c>
      <c r="I20">
        <f t="shared" si="0"/>
        <v>114.456</v>
      </c>
      <c r="J20" s="5">
        <v>4.5</v>
      </c>
      <c r="K20">
        <f t="shared" si="1"/>
        <v>7.4911690000000003E-2</v>
      </c>
      <c r="L20" s="6">
        <v>8.2438439999999993</v>
      </c>
      <c r="M20">
        <f t="shared" si="2"/>
        <v>14.44</v>
      </c>
      <c r="N20">
        <f t="shared" si="3"/>
        <v>1</v>
      </c>
      <c r="O20">
        <f t="shared" si="4"/>
        <v>0</v>
      </c>
    </row>
    <row r="21" spans="1:15">
      <c r="A21" s="5" t="s">
        <v>16</v>
      </c>
      <c r="B21" s="5">
        <v>2024</v>
      </c>
      <c r="C21" s="5">
        <v>-6.2</v>
      </c>
      <c r="D21" s="5">
        <v>9.8000000000000007</v>
      </c>
      <c r="E21" s="5">
        <v>0.27450000000000002</v>
      </c>
      <c r="F21" s="5">
        <v>3.63</v>
      </c>
      <c r="G21" s="1">
        <v>29.84</v>
      </c>
      <c r="H21" s="1">
        <v>0</v>
      </c>
      <c r="I21">
        <f t="shared" si="0"/>
        <v>108.3192</v>
      </c>
      <c r="J21" s="5">
        <v>8.1999999999999993</v>
      </c>
      <c r="K21">
        <f t="shared" si="1"/>
        <v>7.5350250000000007E-2</v>
      </c>
      <c r="L21" s="6">
        <v>8.1910799999999995</v>
      </c>
      <c r="M21">
        <f t="shared" si="2"/>
        <v>13.1769</v>
      </c>
      <c r="N21">
        <f t="shared" si="3"/>
        <v>1</v>
      </c>
      <c r="O21">
        <f t="shared" si="4"/>
        <v>0</v>
      </c>
    </row>
    <row r="22" spans="1:15">
      <c r="A22" s="5" t="s">
        <v>17</v>
      </c>
      <c r="B22" s="5">
        <v>2015</v>
      </c>
      <c r="C22" s="5">
        <v>-5.2</v>
      </c>
      <c r="D22" s="5">
        <v>7.7</v>
      </c>
      <c r="E22" s="5">
        <v>0.69499999999999995</v>
      </c>
      <c r="F22" s="5">
        <v>4.2</v>
      </c>
      <c r="G22" s="1">
        <v>16.5</v>
      </c>
      <c r="H22" s="1">
        <v>0</v>
      </c>
      <c r="I22">
        <f t="shared" si="0"/>
        <v>69.3</v>
      </c>
      <c r="J22">
        <v>0</v>
      </c>
      <c r="K22">
        <f t="shared" si="1"/>
        <v>0.48302499999999993</v>
      </c>
      <c r="L22" s="6">
        <v>11.467499999999999</v>
      </c>
      <c r="M22">
        <f t="shared" si="2"/>
        <v>17.64</v>
      </c>
      <c r="N22">
        <f t="shared" si="3"/>
        <v>1</v>
      </c>
      <c r="O22">
        <f t="shared" si="4"/>
        <v>0</v>
      </c>
    </row>
    <row r="23" spans="1:15">
      <c r="A23" s="5" t="s">
        <v>17</v>
      </c>
      <c r="B23" s="5">
        <v>2016</v>
      </c>
      <c r="C23" s="5">
        <v>0.8</v>
      </c>
      <c r="D23" s="5">
        <v>3.5</v>
      </c>
      <c r="E23" s="5">
        <v>0.68700000000000006</v>
      </c>
      <c r="F23" s="5">
        <v>3.7</v>
      </c>
      <c r="G23" s="1">
        <v>16.53</v>
      </c>
      <c r="H23" s="1">
        <v>0</v>
      </c>
      <c r="I23">
        <f t="shared" si="0"/>
        <v>61.161000000000008</v>
      </c>
      <c r="J23" s="5">
        <v>7.7</v>
      </c>
      <c r="K23">
        <f t="shared" si="1"/>
        <v>0.47196900000000008</v>
      </c>
      <c r="L23" s="6">
        <v>11.356109999999999</v>
      </c>
      <c r="M23">
        <f t="shared" si="2"/>
        <v>13.690000000000001</v>
      </c>
      <c r="N23">
        <f t="shared" si="3"/>
        <v>1</v>
      </c>
      <c r="O23">
        <f t="shared" si="4"/>
        <v>0</v>
      </c>
    </row>
    <row r="24" spans="1:15">
      <c r="A24" s="5" t="s">
        <v>17</v>
      </c>
      <c r="B24" s="5">
        <v>2017</v>
      </c>
      <c r="C24" s="5">
        <v>-3.9</v>
      </c>
      <c r="D24" s="5">
        <v>7.8</v>
      </c>
      <c r="E24" s="5">
        <v>0.68899999999999995</v>
      </c>
      <c r="F24" s="5">
        <v>3.2</v>
      </c>
      <c r="G24" s="1">
        <v>16.57</v>
      </c>
      <c r="H24" s="1">
        <v>0</v>
      </c>
      <c r="I24">
        <f t="shared" si="0"/>
        <v>53.024000000000001</v>
      </c>
      <c r="J24" s="5">
        <v>3.5</v>
      </c>
      <c r="K24">
        <f t="shared" si="1"/>
        <v>0.47472099999999995</v>
      </c>
      <c r="L24" s="6">
        <v>11.416729999999999</v>
      </c>
      <c r="M24">
        <f t="shared" si="2"/>
        <v>10.240000000000002</v>
      </c>
      <c r="N24">
        <f t="shared" si="3"/>
        <v>1</v>
      </c>
      <c r="O24">
        <f t="shared" si="4"/>
        <v>0</v>
      </c>
    </row>
    <row r="25" spans="1:15">
      <c r="A25" s="5" t="s">
        <v>17</v>
      </c>
      <c r="B25" s="5">
        <v>2018</v>
      </c>
      <c r="C25" s="5">
        <v>-0.8</v>
      </c>
      <c r="D25" s="5">
        <v>4</v>
      </c>
      <c r="E25" s="5">
        <v>0.68899999999999995</v>
      </c>
      <c r="F25" s="5">
        <v>2.9</v>
      </c>
      <c r="G25" s="1">
        <v>16.59</v>
      </c>
      <c r="H25" s="1">
        <v>0</v>
      </c>
      <c r="I25">
        <f t="shared" si="0"/>
        <v>48.110999999999997</v>
      </c>
      <c r="J25" s="5">
        <v>7.8</v>
      </c>
      <c r="K25">
        <f t="shared" si="1"/>
        <v>0.47472099999999995</v>
      </c>
      <c r="L25" s="6">
        <v>11.43051</v>
      </c>
      <c r="M25">
        <f t="shared" si="2"/>
        <v>8.41</v>
      </c>
      <c r="N25">
        <f t="shared" si="3"/>
        <v>1</v>
      </c>
      <c r="O25">
        <f t="shared" si="4"/>
        <v>0</v>
      </c>
    </row>
    <row r="26" spans="1:15">
      <c r="A26" s="5" t="s">
        <v>17</v>
      </c>
      <c r="B26" s="5">
        <v>2019</v>
      </c>
      <c r="C26" s="5">
        <v>-7.6</v>
      </c>
      <c r="D26" s="5">
        <v>10.9</v>
      </c>
      <c r="E26" s="5">
        <v>0.67</v>
      </c>
      <c r="F26" s="5">
        <v>2.6</v>
      </c>
      <c r="G26" s="1">
        <v>16.600000000000001</v>
      </c>
      <c r="H26" s="1">
        <v>1</v>
      </c>
      <c r="I26">
        <f t="shared" si="0"/>
        <v>43.160000000000004</v>
      </c>
      <c r="J26" s="5">
        <v>4</v>
      </c>
      <c r="K26">
        <f t="shared" si="1"/>
        <v>0.44890000000000008</v>
      </c>
      <c r="L26" s="6">
        <v>11.122</v>
      </c>
      <c r="M26">
        <f t="shared" si="2"/>
        <v>6.7600000000000007</v>
      </c>
      <c r="N26">
        <f t="shared" si="3"/>
        <v>1</v>
      </c>
      <c r="O26">
        <f t="shared" si="4"/>
        <v>0</v>
      </c>
    </row>
    <row r="27" spans="1:15">
      <c r="A27" s="5" t="s">
        <v>17</v>
      </c>
      <c r="B27" s="5">
        <v>2020</v>
      </c>
      <c r="C27" s="5">
        <v>-7.3</v>
      </c>
      <c r="D27" s="5">
        <v>12</v>
      </c>
      <c r="E27" s="5">
        <v>0.67</v>
      </c>
      <c r="F27" s="5">
        <v>2.7</v>
      </c>
      <c r="G27" s="1">
        <v>22.69</v>
      </c>
      <c r="H27" s="1">
        <v>1</v>
      </c>
      <c r="I27">
        <f t="shared" si="0"/>
        <v>61.263000000000005</v>
      </c>
      <c r="J27" s="5">
        <v>10.9</v>
      </c>
      <c r="K27">
        <f t="shared" si="1"/>
        <v>0.44890000000000008</v>
      </c>
      <c r="L27" s="6">
        <v>15.202299999999999</v>
      </c>
      <c r="M27">
        <f t="shared" si="2"/>
        <v>7.2900000000000009</v>
      </c>
      <c r="N27">
        <f t="shared" si="3"/>
        <v>1</v>
      </c>
      <c r="O27">
        <f t="shared" si="4"/>
        <v>0</v>
      </c>
    </row>
    <row r="28" spans="1:15">
      <c r="A28" s="5" t="s">
        <v>17</v>
      </c>
      <c r="B28" s="5">
        <v>2021</v>
      </c>
      <c r="C28" s="5">
        <v>-7.2</v>
      </c>
      <c r="D28" s="5">
        <v>10.3</v>
      </c>
      <c r="E28" s="5">
        <v>0.67400000000000004</v>
      </c>
      <c r="F28" s="5">
        <v>3.3</v>
      </c>
      <c r="G28" s="1">
        <v>22.71</v>
      </c>
      <c r="H28" s="1">
        <v>1</v>
      </c>
      <c r="I28">
        <f t="shared" si="0"/>
        <v>74.942999999999998</v>
      </c>
      <c r="J28" s="5">
        <v>12</v>
      </c>
      <c r="K28">
        <f t="shared" si="1"/>
        <v>0.45427600000000007</v>
      </c>
      <c r="L28" s="6">
        <v>15.30654</v>
      </c>
      <c r="M28">
        <f t="shared" si="2"/>
        <v>10.889999999999999</v>
      </c>
      <c r="N28">
        <f t="shared" si="3"/>
        <v>1</v>
      </c>
      <c r="O28">
        <f t="shared" si="4"/>
        <v>0</v>
      </c>
    </row>
    <row r="29" spans="1:15">
      <c r="A29" s="5" t="s">
        <v>17</v>
      </c>
      <c r="B29" s="5">
        <v>2022</v>
      </c>
      <c r="C29" s="5">
        <v>-1.5</v>
      </c>
      <c r="D29" s="5">
        <v>6.3</v>
      </c>
      <c r="E29" s="5">
        <v>0.67400000000000004</v>
      </c>
      <c r="F29" s="5">
        <v>2.66</v>
      </c>
      <c r="G29" s="1">
        <v>22.73</v>
      </c>
      <c r="H29" s="1">
        <v>1</v>
      </c>
      <c r="I29">
        <f t="shared" si="0"/>
        <v>60.461800000000004</v>
      </c>
      <c r="J29" s="5">
        <v>10.3</v>
      </c>
      <c r="K29">
        <f t="shared" si="1"/>
        <v>0.45427600000000007</v>
      </c>
      <c r="L29" s="6">
        <v>15.32002</v>
      </c>
      <c r="M29">
        <f t="shared" si="2"/>
        <v>7.0756000000000006</v>
      </c>
      <c r="N29">
        <f t="shared" si="3"/>
        <v>1</v>
      </c>
      <c r="O29">
        <f t="shared" si="4"/>
        <v>0</v>
      </c>
    </row>
    <row r="30" spans="1:15">
      <c r="A30" s="5" t="s">
        <v>17</v>
      </c>
      <c r="B30" s="5">
        <v>2023</v>
      </c>
      <c r="C30" s="5">
        <v>-4.5</v>
      </c>
      <c r="D30" s="5">
        <v>7.8</v>
      </c>
      <c r="E30" s="5">
        <v>0.67500000000000004</v>
      </c>
      <c r="F30" s="5">
        <v>2.62</v>
      </c>
      <c r="G30" s="1">
        <v>22.87</v>
      </c>
      <c r="H30" s="1">
        <v>0</v>
      </c>
      <c r="I30">
        <f t="shared" si="0"/>
        <v>59.919400000000003</v>
      </c>
      <c r="J30" s="5">
        <v>6.3</v>
      </c>
      <c r="K30">
        <f t="shared" si="1"/>
        <v>0.45562500000000006</v>
      </c>
      <c r="L30" s="6">
        <v>15.437250000000001</v>
      </c>
      <c r="M30">
        <f t="shared" si="2"/>
        <v>6.8644000000000007</v>
      </c>
      <c r="N30">
        <f t="shared" si="3"/>
        <v>1</v>
      </c>
      <c r="O30">
        <f t="shared" si="4"/>
        <v>0</v>
      </c>
    </row>
    <row r="31" spans="1:15">
      <c r="A31" s="5" t="s">
        <v>17</v>
      </c>
      <c r="B31" s="5">
        <v>2024</v>
      </c>
      <c r="C31" s="5">
        <v>-1.8</v>
      </c>
      <c r="D31" s="5">
        <v>6.9</v>
      </c>
      <c r="E31" s="5">
        <v>0.68</v>
      </c>
      <c r="F31" s="5">
        <v>2.75</v>
      </c>
      <c r="G31" s="1">
        <v>22.93</v>
      </c>
      <c r="H31" s="1">
        <v>0</v>
      </c>
      <c r="I31">
        <f t="shared" si="0"/>
        <v>63.057499999999997</v>
      </c>
      <c r="J31" s="5">
        <v>7.8</v>
      </c>
      <c r="K31">
        <f t="shared" si="1"/>
        <v>0.46240000000000009</v>
      </c>
      <c r="L31" s="6">
        <v>15.5924</v>
      </c>
      <c r="M31">
        <f t="shared" si="2"/>
        <v>7.5625</v>
      </c>
      <c r="N31">
        <f t="shared" si="3"/>
        <v>1</v>
      </c>
      <c r="O31">
        <f t="shared" si="4"/>
        <v>0</v>
      </c>
    </row>
    <row r="32" spans="1:15">
      <c r="A32" s="5" t="s">
        <v>18</v>
      </c>
      <c r="B32" s="5">
        <v>2015</v>
      </c>
      <c r="C32" s="5">
        <v>-7.3</v>
      </c>
      <c r="D32" s="5">
        <v>9.1</v>
      </c>
      <c r="E32" s="5">
        <v>0.48</v>
      </c>
      <c r="F32" s="5">
        <v>2.48</v>
      </c>
      <c r="G32" s="1">
        <v>18.010000000000002</v>
      </c>
      <c r="H32" s="1">
        <v>0</v>
      </c>
      <c r="I32">
        <f t="shared" si="0"/>
        <v>44.664800000000007</v>
      </c>
      <c r="J32">
        <v>0</v>
      </c>
      <c r="K32">
        <f t="shared" si="1"/>
        <v>0.23039999999999999</v>
      </c>
      <c r="L32" s="6">
        <v>8.6448</v>
      </c>
      <c r="M32">
        <f t="shared" si="2"/>
        <v>6.1504000000000003</v>
      </c>
      <c r="N32">
        <f t="shared" si="3"/>
        <v>1</v>
      </c>
      <c r="O32">
        <f t="shared" si="4"/>
        <v>0</v>
      </c>
    </row>
    <row r="33" spans="1:15">
      <c r="A33" s="5" t="s">
        <v>18</v>
      </c>
      <c r="B33" s="5">
        <v>2016</v>
      </c>
      <c r="C33" s="5">
        <v>-6.4</v>
      </c>
      <c r="D33" s="5">
        <v>7.6</v>
      </c>
      <c r="E33" s="5">
        <v>0.47799999999999998</v>
      </c>
      <c r="F33" s="5">
        <v>2.44</v>
      </c>
      <c r="G33" s="1">
        <v>18.04</v>
      </c>
      <c r="H33" s="1">
        <v>0</v>
      </c>
      <c r="I33">
        <f t="shared" si="0"/>
        <v>44.017599999999995</v>
      </c>
      <c r="J33" s="5">
        <v>9.1</v>
      </c>
      <c r="K33">
        <f t="shared" si="1"/>
        <v>0.22848399999999999</v>
      </c>
      <c r="L33" s="6">
        <v>8.6231200000000001</v>
      </c>
      <c r="M33">
        <f t="shared" si="2"/>
        <v>5.9535999999999998</v>
      </c>
      <c r="N33">
        <f t="shared" si="3"/>
        <v>1</v>
      </c>
      <c r="O33">
        <f t="shared" si="4"/>
        <v>0</v>
      </c>
    </row>
    <row r="34" spans="1:15">
      <c r="A34" s="5" t="s">
        <v>18</v>
      </c>
      <c r="B34" s="5">
        <v>2017</v>
      </c>
      <c r="C34" s="5">
        <v>-6.3</v>
      </c>
      <c r="D34" s="5">
        <v>7</v>
      </c>
      <c r="E34" s="5">
        <v>0.47699999999999998</v>
      </c>
      <c r="F34" s="5">
        <v>3.22</v>
      </c>
      <c r="G34" s="1">
        <v>18.079999999999998</v>
      </c>
      <c r="H34" s="1">
        <v>0</v>
      </c>
      <c r="I34">
        <f t="shared" si="0"/>
        <v>58.217599999999997</v>
      </c>
      <c r="J34" s="5">
        <v>7.6</v>
      </c>
      <c r="K34">
        <f t="shared" si="1"/>
        <v>0.22752899999999998</v>
      </c>
      <c r="L34" s="6">
        <v>8.6241599999999998</v>
      </c>
      <c r="M34">
        <f t="shared" si="2"/>
        <v>10.368400000000001</v>
      </c>
      <c r="N34">
        <f t="shared" si="3"/>
        <v>1</v>
      </c>
      <c r="O34">
        <f t="shared" si="4"/>
        <v>0</v>
      </c>
    </row>
    <row r="35" spans="1:15">
      <c r="A35" s="5" t="s">
        <v>18</v>
      </c>
      <c r="B35" s="5">
        <v>2018</v>
      </c>
      <c r="C35" s="5">
        <v>-3.7</v>
      </c>
      <c r="D35" s="5">
        <v>6.2</v>
      </c>
      <c r="E35" s="5">
        <v>0.47499999999999998</v>
      </c>
      <c r="F35" s="5">
        <v>3.58</v>
      </c>
      <c r="G35" s="1">
        <v>18.2</v>
      </c>
      <c r="H35" s="1">
        <v>0</v>
      </c>
      <c r="I35">
        <f t="shared" si="0"/>
        <v>65.155999999999992</v>
      </c>
      <c r="J35" s="5">
        <v>7</v>
      </c>
      <c r="K35">
        <f t="shared" si="1"/>
        <v>0.22562499999999999</v>
      </c>
      <c r="L35" s="6">
        <v>8.6449999999999996</v>
      </c>
      <c r="M35">
        <f t="shared" si="2"/>
        <v>12.8164</v>
      </c>
      <c r="N35">
        <f t="shared" si="3"/>
        <v>1</v>
      </c>
      <c r="O35">
        <f t="shared" si="4"/>
        <v>0</v>
      </c>
    </row>
    <row r="36" spans="1:15">
      <c r="A36" s="5" t="s">
        <v>18</v>
      </c>
      <c r="B36" s="5">
        <v>2019</v>
      </c>
      <c r="C36" s="5">
        <v>-11.2</v>
      </c>
      <c r="D36" s="5">
        <v>12.8</v>
      </c>
      <c r="E36" s="5">
        <v>0.47199999999999998</v>
      </c>
      <c r="F36" s="5">
        <v>1.28</v>
      </c>
      <c r="G36" s="1">
        <v>19.059999999999999</v>
      </c>
      <c r="H36" s="1">
        <v>1</v>
      </c>
      <c r="I36">
        <f t="shared" si="0"/>
        <v>24.396799999999999</v>
      </c>
      <c r="J36" s="5">
        <v>6.2</v>
      </c>
      <c r="K36">
        <f t="shared" si="1"/>
        <v>0.22278399999999998</v>
      </c>
      <c r="L36" s="6">
        <v>8.9963200000000008</v>
      </c>
      <c r="M36">
        <f t="shared" si="2"/>
        <v>1.6384000000000001</v>
      </c>
      <c r="N36">
        <f t="shared" si="3"/>
        <v>1</v>
      </c>
      <c r="O36">
        <f t="shared" si="4"/>
        <v>0</v>
      </c>
    </row>
    <row r="37" spans="1:15">
      <c r="A37" s="5" t="s">
        <v>18</v>
      </c>
      <c r="B37" s="5">
        <v>2020</v>
      </c>
      <c r="C37" s="5">
        <v>-7.7</v>
      </c>
      <c r="D37" s="5">
        <v>10.1</v>
      </c>
      <c r="E37" s="5">
        <v>0.47299999999999998</v>
      </c>
      <c r="F37" s="5">
        <v>2.79</v>
      </c>
      <c r="G37" s="1">
        <v>19.13</v>
      </c>
      <c r="H37" s="1">
        <v>1</v>
      </c>
      <c r="I37">
        <f t="shared" si="0"/>
        <v>53.372699999999995</v>
      </c>
      <c r="J37" s="5">
        <v>12.8</v>
      </c>
      <c r="K37">
        <f t="shared" si="1"/>
        <v>0.22372899999999998</v>
      </c>
      <c r="L37" s="6">
        <v>9.0484899999999993</v>
      </c>
      <c r="M37">
        <f t="shared" si="2"/>
        <v>7.7841000000000005</v>
      </c>
      <c r="N37">
        <f t="shared" si="3"/>
        <v>1</v>
      </c>
      <c r="O37">
        <f t="shared" si="4"/>
        <v>0</v>
      </c>
    </row>
    <row r="38" spans="1:15">
      <c r="A38" s="5" t="s">
        <v>18</v>
      </c>
      <c r="B38" s="5">
        <v>2021</v>
      </c>
      <c r="C38" s="5">
        <v>-23.7</v>
      </c>
      <c r="D38" s="5">
        <v>25.5</v>
      </c>
      <c r="E38" s="5">
        <v>0.47299999999999998</v>
      </c>
      <c r="F38" s="5">
        <v>5.44</v>
      </c>
      <c r="G38" s="1">
        <v>20.18</v>
      </c>
      <c r="H38" s="1">
        <v>1</v>
      </c>
      <c r="I38">
        <f t="shared" si="0"/>
        <v>109.7792</v>
      </c>
      <c r="J38" s="5">
        <v>10.1</v>
      </c>
      <c r="K38">
        <f t="shared" si="1"/>
        <v>0.22372899999999998</v>
      </c>
      <c r="L38" s="6">
        <v>9.54514</v>
      </c>
      <c r="M38">
        <f t="shared" si="2"/>
        <v>29.593600000000006</v>
      </c>
      <c r="N38">
        <f t="shared" si="3"/>
        <v>1</v>
      </c>
      <c r="O38">
        <f t="shared" si="4"/>
        <v>0</v>
      </c>
    </row>
    <row r="39" spans="1:15">
      <c r="A39" s="5" t="s">
        <v>18</v>
      </c>
      <c r="B39" s="5">
        <v>2022</v>
      </c>
      <c r="C39" s="5">
        <v>-7.2</v>
      </c>
      <c r="D39" s="5">
        <v>8.5</v>
      </c>
      <c r="E39" s="5">
        <v>0.47299999999999998</v>
      </c>
      <c r="F39" s="5">
        <v>4.9400000000000004</v>
      </c>
      <c r="G39" s="1">
        <v>20.239999999999998</v>
      </c>
      <c r="H39" s="1">
        <v>1</v>
      </c>
      <c r="I39">
        <f t="shared" si="0"/>
        <v>99.985600000000005</v>
      </c>
      <c r="J39" s="5">
        <v>25.5</v>
      </c>
      <c r="K39">
        <f t="shared" si="1"/>
        <v>0.22372899999999998</v>
      </c>
      <c r="L39" s="6">
        <v>9.5735200000000003</v>
      </c>
      <c r="M39">
        <f t="shared" si="2"/>
        <v>24.403600000000004</v>
      </c>
      <c r="N39">
        <f t="shared" si="3"/>
        <v>1</v>
      </c>
      <c r="O39">
        <f t="shared" si="4"/>
        <v>0</v>
      </c>
    </row>
    <row r="40" spans="1:15">
      <c r="A40" s="5" t="s">
        <v>18</v>
      </c>
      <c r="B40" s="5">
        <v>2023</v>
      </c>
      <c r="C40" s="5">
        <v>-4.0999999999999996</v>
      </c>
      <c r="D40" s="5">
        <v>7.4</v>
      </c>
      <c r="E40" s="5">
        <v>0.47299999999999998</v>
      </c>
      <c r="F40" s="5">
        <v>4.95</v>
      </c>
      <c r="G40" s="1">
        <v>20.36</v>
      </c>
      <c r="H40" s="1">
        <v>0</v>
      </c>
      <c r="I40">
        <f t="shared" si="0"/>
        <v>100.782</v>
      </c>
      <c r="J40" s="5">
        <v>8.5</v>
      </c>
      <c r="K40">
        <f t="shared" si="1"/>
        <v>0.22372899999999998</v>
      </c>
      <c r="L40" s="6">
        <v>9.6302800000000008</v>
      </c>
      <c r="M40">
        <f t="shared" si="2"/>
        <v>24.502500000000001</v>
      </c>
      <c r="N40">
        <f t="shared" si="3"/>
        <v>1</v>
      </c>
      <c r="O40">
        <f t="shared" si="4"/>
        <v>0</v>
      </c>
    </row>
    <row r="41" spans="1:15">
      <c r="A41" s="5" t="s">
        <v>18</v>
      </c>
      <c r="B41" s="5">
        <v>2024</v>
      </c>
      <c r="C41" s="5">
        <v>-3.6</v>
      </c>
      <c r="D41" s="5">
        <v>7.5</v>
      </c>
      <c r="E41" s="5">
        <v>0.47299999999999998</v>
      </c>
      <c r="F41" s="5">
        <v>4.1900000000000004</v>
      </c>
      <c r="G41" s="1">
        <v>20.52</v>
      </c>
      <c r="H41" s="1">
        <v>0</v>
      </c>
      <c r="I41">
        <f t="shared" si="0"/>
        <v>85.978800000000007</v>
      </c>
      <c r="J41" s="5">
        <v>7.4</v>
      </c>
      <c r="K41">
        <f t="shared" si="1"/>
        <v>0.22372899999999998</v>
      </c>
      <c r="L41" s="6">
        <v>9.7059599999999993</v>
      </c>
      <c r="M41">
        <f t="shared" si="2"/>
        <v>17.556100000000004</v>
      </c>
      <c r="N41">
        <f t="shared" si="3"/>
        <v>1</v>
      </c>
      <c r="O41">
        <f t="shared" si="4"/>
        <v>0</v>
      </c>
    </row>
    <row r="42" spans="1:15">
      <c r="A42" s="5" t="s">
        <v>19</v>
      </c>
      <c r="B42" s="5">
        <v>2015</v>
      </c>
      <c r="C42" s="5">
        <v>4.7</v>
      </c>
      <c r="D42" s="5">
        <v>5.7</v>
      </c>
      <c r="E42" s="5">
        <v>4.0309999999999997</v>
      </c>
      <c r="F42" s="5">
        <v>2.9</v>
      </c>
      <c r="G42" s="1">
        <v>80.98</v>
      </c>
      <c r="H42" s="1">
        <v>0</v>
      </c>
      <c r="I42">
        <f t="shared" si="0"/>
        <v>234.84200000000001</v>
      </c>
      <c r="J42">
        <v>0</v>
      </c>
      <c r="K42">
        <f t="shared" si="1"/>
        <v>16.248960999999998</v>
      </c>
      <c r="L42" s="6">
        <v>326.43038000000001</v>
      </c>
      <c r="M42">
        <f t="shared" si="2"/>
        <v>8.41</v>
      </c>
      <c r="N42">
        <f t="shared" si="3"/>
        <v>0</v>
      </c>
      <c r="O42">
        <f t="shared" si="4"/>
        <v>1</v>
      </c>
    </row>
    <row r="43" spans="1:15">
      <c r="A43" s="5" t="s">
        <v>19</v>
      </c>
      <c r="B43" s="5">
        <v>2016</v>
      </c>
      <c r="C43" s="5">
        <v>6.6</v>
      </c>
      <c r="D43" s="5">
        <v>4.0999999999999996</v>
      </c>
      <c r="E43" s="5">
        <v>4.1139999999999999</v>
      </c>
      <c r="F43" s="5">
        <v>2.7</v>
      </c>
      <c r="G43" s="1">
        <v>80.540000000000006</v>
      </c>
      <c r="H43" s="1">
        <v>0</v>
      </c>
      <c r="I43">
        <f t="shared" si="0"/>
        <v>217.45800000000003</v>
      </c>
      <c r="J43" s="5">
        <v>5.7</v>
      </c>
      <c r="K43">
        <f t="shared" si="1"/>
        <v>16.924996</v>
      </c>
      <c r="L43" s="6">
        <v>331.34156000000002</v>
      </c>
      <c r="M43">
        <f t="shared" si="2"/>
        <v>7.2900000000000009</v>
      </c>
      <c r="N43">
        <f t="shared" si="3"/>
        <v>0</v>
      </c>
      <c r="O43">
        <f t="shared" si="4"/>
        <v>1</v>
      </c>
    </row>
    <row r="44" spans="1:15">
      <c r="A44" s="5" t="s">
        <v>19</v>
      </c>
      <c r="B44" s="5">
        <v>2017</v>
      </c>
      <c r="C44" s="5">
        <v>5.3</v>
      </c>
      <c r="D44" s="5">
        <v>3.2</v>
      </c>
      <c r="E44" s="5">
        <v>4.1970000000000001</v>
      </c>
      <c r="F44" s="5">
        <v>2.9</v>
      </c>
      <c r="G44" s="1">
        <v>80.099999999999994</v>
      </c>
      <c r="H44" s="1">
        <v>0</v>
      </c>
      <c r="I44">
        <f t="shared" si="0"/>
        <v>232.28999999999996</v>
      </c>
      <c r="J44" s="5">
        <v>4.0999999999999996</v>
      </c>
      <c r="K44">
        <f t="shared" si="1"/>
        <v>17.614809000000001</v>
      </c>
      <c r="L44" s="6">
        <v>336.17970000000003</v>
      </c>
      <c r="M44">
        <f t="shared" si="2"/>
        <v>8.41</v>
      </c>
      <c r="N44">
        <f t="shared" si="3"/>
        <v>0</v>
      </c>
      <c r="O44">
        <f t="shared" si="4"/>
        <v>1</v>
      </c>
    </row>
    <row r="45" spans="1:15">
      <c r="A45" s="5" t="s">
        <v>19</v>
      </c>
      <c r="B45" s="5">
        <v>2018</v>
      </c>
      <c r="C45" s="5">
        <v>6.1</v>
      </c>
      <c r="D45" s="5">
        <v>3.2</v>
      </c>
      <c r="E45" s="5">
        <v>4.2889999999999997</v>
      </c>
      <c r="F45" s="5">
        <v>2.9</v>
      </c>
      <c r="G45" s="1">
        <v>79.67</v>
      </c>
      <c r="H45" s="1">
        <v>0</v>
      </c>
      <c r="I45">
        <f t="shared" si="0"/>
        <v>231.04300000000001</v>
      </c>
      <c r="J45" s="5">
        <v>3.2</v>
      </c>
      <c r="K45">
        <f t="shared" si="1"/>
        <v>18.395520999999999</v>
      </c>
      <c r="L45" s="6">
        <v>341.70463000000001</v>
      </c>
      <c r="M45">
        <f t="shared" si="2"/>
        <v>8.41</v>
      </c>
      <c r="N45">
        <f t="shared" si="3"/>
        <v>0</v>
      </c>
      <c r="O45">
        <f t="shared" si="4"/>
        <v>1</v>
      </c>
    </row>
    <row r="46" spans="1:15">
      <c r="A46" s="5" t="s">
        <v>19</v>
      </c>
      <c r="B46" s="5">
        <v>2019</v>
      </c>
      <c r="C46" s="5">
        <v>15.2</v>
      </c>
      <c r="D46" s="5">
        <v>3.1</v>
      </c>
      <c r="E46" s="5">
        <v>4.3140000000000001</v>
      </c>
      <c r="F46" s="5">
        <v>2.8</v>
      </c>
      <c r="G46" s="1">
        <v>79.23</v>
      </c>
      <c r="H46" s="1">
        <v>1</v>
      </c>
      <c r="I46">
        <f t="shared" si="0"/>
        <v>221.84399999999999</v>
      </c>
      <c r="J46" s="5">
        <v>3.2</v>
      </c>
      <c r="K46">
        <f t="shared" si="1"/>
        <v>18.610596000000001</v>
      </c>
      <c r="L46" s="6">
        <v>341.79822000000001</v>
      </c>
      <c r="M46">
        <f t="shared" si="2"/>
        <v>7.839999999999999</v>
      </c>
      <c r="N46">
        <f t="shared" si="3"/>
        <v>0</v>
      </c>
      <c r="O46">
        <f t="shared" si="4"/>
        <v>1</v>
      </c>
    </row>
    <row r="47" spans="1:15">
      <c r="A47" s="5" t="s">
        <v>19</v>
      </c>
      <c r="B47" s="5">
        <v>2020</v>
      </c>
      <c r="C47" s="5">
        <v>18</v>
      </c>
      <c r="D47" s="5">
        <v>3.9</v>
      </c>
      <c r="E47" s="5">
        <v>4.4039999999999999</v>
      </c>
      <c r="F47" s="5">
        <v>3.92</v>
      </c>
      <c r="G47" s="1">
        <v>79.010000000000005</v>
      </c>
      <c r="H47" s="1">
        <v>1</v>
      </c>
      <c r="I47">
        <f t="shared" si="0"/>
        <v>309.7192</v>
      </c>
      <c r="J47" s="5">
        <v>3.1</v>
      </c>
      <c r="K47">
        <f t="shared" si="1"/>
        <v>19.395215999999998</v>
      </c>
      <c r="L47" s="6">
        <v>347.96003999999999</v>
      </c>
      <c r="M47">
        <f t="shared" si="2"/>
        <v>15.366399999999999</v>
      </c>
      <c r="N47">
        <f t="shared" si="3"/>
        <v>0</v>
      </c>
      <c r="O47">
        <f t="shared" si="4"/>
        <v>1</v>
      </c>
    </row>
    <row r="48" spans="1:15">
      <c r="A48" s="5" t="s">
        <v>19</v>
      </c>
      <c r="B48" s="5">
        <v>2021</v>
      </c>
      <c r="C48" s="5">
        <v>21.8</v>
      </c>
      <c r="D48" s="5">
        <v>3.6</v>
      </c>
      <c r="E48" s="5">
        <v>4.375</v>
      </c>
      <c r="F48" s="5">
        <v>6.4</v>
      </c>
      <c r="G48" s="1">
        <v>78.98</v>
      </c>
      <c r="H48" s="1">
        <v>1</v>
      </c>
      <c r="I48">
        <f t="shared" si="0"/>
        <v>505.47200000000004</v>
      </c>
      <c r="J48" s="5">
        <v>3.9</v>
      </c>
      <c r="K48">
        <f t="shared" si="1"/>
        <v>19.140625</v>
      </c>
      <c r="L48" s="6">
        <v>345.53750000000002</v>
      </c>
      <c r="M48">
        <f t="shared" si="2"/>
        <v>40.960000000000008</v>
      </c>
      <c r="N48">
        <f t="shared" si="3"/>
        <v>0</v>
      </c>
      <c r="O48">
        <f t="shared" si="4"/>
        <v>1</v>
      </c>
    </row>
    <row r="49" spans="1:15">
      <c r="A49" s="5" t="s">
        <v>19</v>
      </c>
      <c r="B49" s="5">
        <v>2022</v>
      </c>
      <c r="C49" s="5">
        <v>7.2</v>
      </c>
      <c r="D49" s="5">
        <v>3.7</v>
      </c>
      <c r="E49" s="5">
        <v>4.4809999999999999</v>
      </c>
      <c r="F49" s="5">
        <v>4.1900000000000004</v>
      </c>
      <c r="G49" s="1">
        <v>77.72</v>
      </c>
      <c r="H49" s="1">
        <v>1</v>
      </c>
      <c r="I49">
        <f t="shared" si="0"/>
        <v>325.64680000000004</v>
      </c>
      <c r="J49" s="5">
        <v>3.6</v>
      </c>
      <c r="K49">
        <f t="shared" si="1"/>
        <v>20.079360999999999</v>
      </c>
      <c r="L49" s="6">
        <v>348.26332000000002</v>
      </c>
      <c r="M49">
        <f t="shared" si="2"/>
        <v>17.556100000000004</v>
      </c>
      <c r="N49">
        <f t="shared" si="3"/>
        <v>0</v>
      </c>
      <c r="O49">
        <f t="shared" si="4"/>
        <v>1</v>
      </c>
    </row>
    <row r="50" spans="1:15">
      <c r="A50" s="5" t="s">
        <v>19</v>
      </c>
      <c r="B50" s="5">
        <v>2023</v>
      </c>
      <c r="C50" s="5">
        <v>6.8</v>
      </c>
      <c r="D50" s="5">
        <v>3.8</v>
      </c>
      <c r="E50" s="5">
        <v>4.5129999999999999</v>
      </c>
      <c r="F50" s="5">
        <v>3.8</v>
      </c>
      <c r="G50" s="1">
        <v>77.66</v>
      </c>
      <c r="H50" s="1">
        <v>0</v>
      </c>
      <c r="I50">
        <f t="shared" si="0"/>
        <v>295.10799999999995</v>
      </c>
      <c r="J50" s="5">
        <v>3.7</v>
      </c>
      <c r="K50">
        <f t="shared" si="1"/>
        <v>20.367169000000001</v>
      </c>
      <c r="L50" s="6">
        <v>350.47958</v>
      </c>
      <c r="M50">
        <f t="shared" si="2"/>
        <v>14.44</v>
      </c>
      <c r="N50">
        <f t="shared" si="3"/>
        <v>0</v>
      </c>
      <c r="O50">
        <f t="shared" si="4"/>
        <v>1</v>
      </c>
    </row>
    <row r="51" spans="1:15">
      <c r="A51" s="5" t="s">
        <v>19</v>
      </c>
      <c r="B51" s="5">
        <v>2024</v>
      </c>
      <c r="C51" s="5">
        <v>9.1</v>
      </c>
      <c r="D51" s="5">
        <v>6</v>
      </c>
      <c r="E51" s="5">
        <v>4.5549999999999997</v>
      </c>
      <c r="F51" s="5">
        <v>3.42</v>
      </c>
      <c r="G51" s="1">
        <v>77.84</v>
      </c>
      <c r="H51" s="1">
        <v>0</v>
      </c>
      <c r="I51">
        <f t="shared" si="0"/>
        <v>266.21280000000002</v>
      </c>
      <c r="J51" s="5">
        <v>3.8</v>
      </c>
      <c r="K51">
        <f t="shared" si="1"/>
        <v>20.748024999999998</v>
      </c>
      <c r="L51" s="6">
        <v>354.56119999999999</v>
      </c>
      <c r="M51">
        <f t="shared" si="2"/>
        <v>11.696399999999999</v>
      </c>
      <c r="N51">
        <f t="shared" si="3"/>
        <v>0</v>
      </c>
      <c r="O51">
        <f t="shared" si="4"/>
        <v>1</v>
      </c>
    </row>
    <row r="52" spans="1:15">
      <c r="A52" s="5" t="s">
        <v>20</v>
      </c>
      <c r="B52" s="5">
        <v>2015</v>
      </c>
      <c r="C52" s="5">
        <v>0.7</v>
      </c>
      <c r="D52" s="5">
        <v>5.3</v>
      </c>
      <c r="E52" s="5">
        <v>1.1040000000000001</v>
      </c>
      <c r="F52" s="5">
        <v>3.29</v>
      </c>
      <c r="G52" s="1">
        <v>54.95</v>
      </c>
      <c r="H52" s="1">
        <v>0</v>
      </c>
      <c r="I52">
        <f t="shared" si="0"/>
        <v>180.78550000000001</v>
      </c>
      <c r="J52">
        <v>0</v>
      </c>
      <c r="K52">
        <f t="shared" si="1"/>
        <v>1.2188160000000001</v>
      </c>
      <c r="L52" s="6">
        <v>60.6648</v>
      </c>
      <c r="M52">
        <f t="shared" si="2"/>
        <v>10.8241</v>
      </c>
      <c r="N52">
        <f t="shared" si="3"/>
        <v>0</v>
      </c>
      <c r="O52">
        <f t="shared" si="4"/>
        <v>0</v>
      </c>
    </row>
    <row r="53" spans="1:15">
      <c r="A53" s="5" t="s">
        <v>20</v>
      </c>
      <c r="B53" s="5">
        <v>2016</v>
      </c>
      <c r="C53" s="5">
        <v>1.1000000000000001</v>
      </c>
      <c r="D53" s="5">
        <v>3.5</v>
      </c>
      <c r="E53" s="5">
        <v>1.1180000000000001</v>
      </c>
      <c r="F53" s="5">
        <v>2.5099999999999998</v>
      </c>
      <c r="G53" s="1">
        <v>55.85</v>
      </c>
      <c r="H53" s="1">
        <v>0</v>
      </c>
      <c r="I53">
        <f t="shared" si="0"/>
        <v>140.18349999999998</v>
      </c>
      <c r="J53" s="5">
        <v>5.3</v>
      </c>
      <c r="K53">
        <f t="shared" si="1"/>
        <v>1.2499240000000003</v>
      </c>
      <c r="L53" s="6">
        <v>62.440300000000001</v>
      </c>
      <c r="M53">
        <f t="shared" si="2"/>
        <v>6.3000999999999987</v>
      </c>
      <c r="N53">
        <f t="shared" si="3"/>
        <v>0</v>
      </c>
      <c r="O53">
        <f t="shared" si="4"/>
        <v>0</v>
      </c>
    </row>
    <row r="54" spans="1:15">
      <c r="A54" s="5" t="s">
        <v>20</v>
      </c>
      <c r="B54" s="5">
        <v>2017</v>
      </c>
      <c r="C54" s="5">
        <v>0.4</v>
      </c>
      <c r="D54" s="5">
        <v>2.2000000000000002</v>
      </c>
      <c r="E54" s="5">
        <v>1.127</v>
      </c>
      <c r="F54" s="5">
        <v>2.64</v>
      </c>
      <c r="G54" s="1">
        <v>56.75</v>
      </c>
      <c r="H54" s="1">
        <v>0</v>
      </c>
      <c r="I54">
        <f t="shared" si="0"/>
        <v>149.82</v>
      </c>
      <c r="J54" s="5">
        <v>3.5</v>
      </c>
      <c r="K54">
        <f t="shared" si="1"/>
        <v>1.2701290000000001</v>
      </c>
      <c r="L54" s="6">
        <v>63.957250000000002</v>
      </c>
      <c r="M54">
        <f t="shared" si="2"/>
        <v>6.9696000000000007</v>
      </c>
      <c r="N54">
        <f t="shared" si="3"/>
        <v>0</v>
      </c>
      <c r="O54">
        <f t="shared" si="4"/>
        <v>0</v>
      </c>
    </row>
    <row r="55" spans="1:15">
      <c r="A55" s="5" t="s">
        <v>20</v>
      </c>
      <c r="B55" s="5">
        <v>2018</v>
      </c>
      <c r="C55" s="5">
        <v>-0.7</v>
      </c>
      <c r="D55" s="5">
        <v>3.1</v>
      </c>
      <c r="E55" s="5">
        <v>1.1379999999999999</v>
      </c>
      <c r="F55" s="5">
        <v>2.37</v>
      </c>
      <c r="G55" s="1">
        <v>57.69</v>
      </c>
      <c r="H55" s="1">
        <v>0</v>
      </c>
      <c r="I55">
        <f t="shared" si="0"/>
        <v>136.7253</v>
      </c>
      <c r="J55" s="5">
        <v>2.2000000000000002</v>
      </c>
      <c r="K55">
        <f t="shared" si="1"/>
        <v>1.2950439999999999</v>
      </c>
      <c r="L55" s="6">
        <v>65.651219999999995</v>
      </c>
      <c r="M55">
        <f t="shared" si="2"/>
        <v>5.6169000000000002</v>
      </c>
      <c r="N55">
        <f t="shared" si="3"/>
        <v>0</v>
      </c>
      <c r="O55">
        <f t="shared" si="4"/>
        <v>0</v>
      </c>
    </row>
    <row r="56" spans="1:15">
      <c r="A56" s="5" t="s">
        <v>20</v>
      </c>
      <c r="B56" s="5">
        <v>2019</v>
      </c>
      <c r="C56" s="5">
        <v>1.8</v>
      </c>
      <c r="D56" s="5">
        <v>5.8</v>
      </c>
      <c r="E56" s="5">
        <v>1.1519999999999999</v>
      </c>
      <c r="F56" s="5">
        <v>2.08</v>
      </c>
      <c r="G56" s="1">
        <v>58.64</v>
      </c>
      <c r="H56" s="1">
        <v>1</v>
      </c>
      <c r="I56">
        <f t="shared" si="0"/>
        <v>121.97120000000001</v>
      </c>
      <c r="J56" s="5">
        <v>3.1</v>
      </c>
      <c r="K56">
        <f t="shared" si="1"/>
        <v>1.3271039999999998</v>
      </c>
      <c r="L56" s="6">
        <v>67.553280000000001</v>
      </c>
      <c r="M56">
        <f t="shared" si="2"/>
        <v>4.3264000000000005</v>
      </c>
      <c r="N56">
        <f t="shared" si="3"/>
        <v>0</v>
      </c>
      <c r="O56">
        <f t="shared" si="4"/>
        <v>0</v>
      </c>
    </row>
    <row r="57" spans="1:15">
      <c r="A57" s="5" t="s">
        <v>20</v>
      </c>
      <c r="B57" s="5">
        <v>2020</v>
      </c>
      <c r="C57" s="5">
        <v>3.2</v>
      </c>
      <c r="D57" s="5">
        <v>4.3</v>
      </c>
      <c r="E57" s="5">
        <v>1.1679999999999999</v>
      </c>
      <c r="F57" s="5">
        <v>3.56</v>
      </c>
      <c r="G57" s="1">
        <v>57.57</v>
      </c>
      <c r="H57" s="1">
        <v>1</v>
      </c>
      <c r="I57">
        <f t="shared" si="0"/>
        <v>204.94919999999999</v>
      </c>
      <c r="J57" s="5">
        <v>5.8</v>
      </c>
      <c r="K57">
        <f t="shared" si="1"/>
        <v>1.3642239999999999</v>
      </c>
      <c r="L57" s="6">
        <v>67.241759999999999</v>
      </c>
      <c r="M57">
        <f t="shared" si="2"/>
        <v>12.6736</v>
      </c>
      <c r="N57">
        <f t="shared" si="3"/>
        <v>0</v>
      </c>
      <c r="O57">
        <f t="shared" si="4"/>
        <v>0</v>
      </c>
    </row>
    <row r="58" spans="1:15">
      <c r="A58" s="5" t="s">
        <v>20</v>
      </c>
      <c r="B58" s="5">
        <v>2021</v>
      </c>
      <c r="C58" s="5">
        <v>1</v>
      </c>
      <c r="D58" s="5">
        <v>3.9</v>
      </c>
      <c r="E58" s="5">
        <v>1.1759999999999999</v>
      </c>
      <c r="F58" s="5">
        <v>9.18</v>
      </c>
      <c r="G58" s="1">
        <v>58.41</v>
      </c>
      <c r="H58" s="1">
        <v>1</v>
      </c>
      <c r="I58">
        <f t="shared" si="0"/>
        <v>536.2038</v>
      </c>
      <c r="J58" s="5">
        <v>4.3</v>
      </c>
      <c r="K58">
        <f t="shared" si="1"/>
        <v>1.3829759999999998</v>
      </c>
      <c r="L58" s="6">
        <v>68.690160000000006</v>
      </c>
      <c r="M58">
        <f t="shared" si="2"/>
        <v>84.27239999999999</v>
      </c>
      <c r="N58">
        <f t="shared" si="3"/>
        <v>0</v>
      </c>
      <c r="O58">
        <f t="shared" si="4"/>
        <v>0</v>
      </c>
    </row>
    <row r="59" spans="1:15">
      <c r="A59" s="5" t="s">
        <v>20</v>
      </c>
      <c r="B59" s="5">
        <v>2022</v>
      </c>
      <c r="C59" s="5">
        <v>-0.9</v>
      </c>
      <c r="D59" s="5">
        <v>4.3</v>
      </c>
      <c r="E59" s="5">
        <v>1.179</v>
      </c>
      <c r="F59" s="5">
        <v>2.81</v>
      </c>
      <c r="G59" s="1">
        <v>60.4</v>
      </c>
      <c r="H59" s="1">
        <v>1</v>
      </c>
      <c r="I59">
        <f t="shared" si="0"/>
        <v>169.72399999999999</v>
      </c>
      <c r="J59" s="5">
        <v>3.9</v>
      </c>
      <c r="K59">
        <f t="shared" si="1"/>
        <v>1.3900410000000001</v>
      </c>
      <c r="L59" s="6">
        <v>71.211600000000004</v>
      </c>
      <c r="M59">
        <f t="shared" si="2"/>
        <v>7.8961000000000006</v>
      </c>
      <c r="N59">
        <f t="shared" si="3"/>
        <v>0</v>
      </c>
      <c r="O59">
        <f t="shared" si="4"/>
        <v>0</v>
      </c>
    </row>
    <row r="60" spans="1:15">
      <c r="A60" s="5" t="s">
        <v>20</v>
      </c>
      <c r="B60" s="5">
        <v>2023</v>
      </c>
      <c r="C60" s="5">
        <v>-1.5</v>
      </c>
      <c r="D60" s="5">
        <v>6.5</v>
      </c>
      <c r="E60" s="5">
        <v>1.1879999999999999</v>
      </c>
      <c r="F60" s="5">
        <v>2.89</v>
      </c>
      <c r="G60" s="1">
        <v>60.92</v>
      </c>
      <c r="H60" s="1">
        <v>0</v>
      </c>
      <c r="I60">
        <f t="shared" si="0"/>
        <v>176.05880000000002</v>
      </c>
      <c r="J60" s="5">
        <v>4.3</v>
      </c>
      <c r="K60">
        <f t="shared" si="1"/>
        <v>1.4113439999999999</v>
      </c>
      <c r="L60" s="6">
        <v>72.372960000000006</v>
      </c>
      <c r="M60">
        <f t="shared" si="2"/>
        <v>8.3521000000000001</v>
      </c>
      <c r="N60">
        <f t="shared" si="3"/>
        <v>0</v>
      </c>
      <c r="O60">
        <f t="shared" si="4"/>
        <v>0</v>
      </c>
    </row>
    <row r="61" spans="1:15">
      <c r="A61" s="5" t="s">
        <v>20</v>
      </c>
      <c r="B61" s="5">
        <v>2024</v>
      </c>
      <c r="C61" s="5">
        <v>-0.9</v>
      </c>
      <c r="D61" s="5">
        <v>6.7</v>
      </c>
      <c r="E61" s="5">
        <v>1.1950000000000001</v>
      </c>
      <c r="F61" s="5">
        <v>2.48</v>
      </c>
      <c r="G61" s="1">
        <v>62.09</v>
      </c>
      <c r="H61" s="1">
        <v>0</v>
      </c>
      <c r="I61">
        <f t="shared" si="0"/>
        <v>153.98320000000001</v>
      </c>
      <c r="J61" s="5">
        <v>6.5</v>
      </c>
      <c r="K61">
        <f t="shared" si="1"/>
        <v>1.4280250000000001</v>
      </c>
      <c r="L61" s="6">
        <v>74.197550000000007</v>
      </c>
      <c r="M61">
        <f t="shared" si="2"/>
        <v>6.1504000000000003</v>
      </c>
      <c r="N61">
        <f t="shared" si="3"/>
        <v>0</v>
      </c>
      <c r="O61">
        <f t="shared" si="4"/>
        <v>0</v>
      </c>
    </row>
    <row r="62" spans="1:15">
      <c r="A62" s="5" t="s">
        <v>21</v>
      </c>
      <c r="B62" s="5">
        <v>2015</v>
      </c>
      <c r="C62" s="5">
        <v>-5.2</v>
      </c>
      <c r="D62" s="5">
        <v>6.2</v>
      </c>
      <c r="E62" s="5">
        <v>0.373</v>
      </c>
      <c r="F62" s="5">
        <v>3.1</v>
      </c>
      <c r="G62" s="1">
        <v>30.4</v>
      </c>
      <c r="H62" s="1">
        <v>0</v>
      </c>
      <c r="I62">
        <f t="shared" si="0"/>
        <v>94.24</v>
      </c>
      <c r="J62">
        <v>0</v>
      </c>
      <c r="K62">
        <f t="shared" si="1"/>
        <v>0.139129</v>
      </c>
      <c r="L62" s="6">
        <v>11.3392</v>
      </c>
      <c r="M62">
        <f t="shared" si="2"/>
        <v>9.6100000000000012</v>
      </c>
      <c r="N62">
        <f t="shared" si="3"/>
        <v>1</v>
      </c>
      <c r="O62">
        <f t="shared" si="4"/>
        <v>0</v>
      </c>
    </row>
    <row r="63" spans="1:15">
      <c r="A63" s="5" t="s">
        <v>21</v>
      </c>
      <c r="B63" s="5">
        <v>2016</v>
      </c>
      <c r="C63" s="5">
        <v>-5.4</v>
      </c>
      <c r="D63" s="5">
        <v>6.6</v>
      </c>
      <c r="E63" s="5">
        <v>0.371</v>
      </c>
      <c r="F63" s="5">
        <v>3.8</v>
      </c>
      <c r="G63" s="1">
        <v>30.9</v>
      </c>
      <c r="H63" s="1">
        <v>0</v>
      </c>
      <c r="I63">
        <f t="shared" si="0"/>
        <v>117.41999999999999</v>
      </c>
      <c r="J63" s="5">
        <v>6.2</v>
      </c>
      <c r="K63">
        <f t="shared" si="1"/>
        <v>0.13764099999999999</v>
      </c>
      <c r="L63" s="6">
        <v>11.463900000000001</v>
      </c>
      <c r="M63">
        <f t="shared" si="2"/>
        <v>14.44</v>
      </c>
      <c r="N63">
        <f t="shared" si="3"/>
        <v>1</v>
      </c>
      <c r="O63">
        <f t="shared" si="4"/>
        <v>0</v>
      </c>
    </row>
    <row r="64" spans="1:15">
      <c r="A64" s="5" t="s">
        <v>21</v>
      </c>
      <c r="B64" s="5">
        <v>2017</v>
      </c>
      <c r="C64" s="5">
        <v>-7.6</v>
      </c>
      <c r="D64" s="5">
        <v>8.3000000000000007</v>
      </c>
      <c r="E64" s="5">
        <v>0.36799999999999999</v>
      </c>
      <c r="F64" s="5">
        <v>3</v>
      </c>
      <c r="G64" s="1">
        <v>31.4</v>
      </c>
      <c r="H64" s="1">
        <v>0</v>
      </c>
      <c r="I64">
        <f t="shared" si="0"/>
        <v>94.199999999999989</v>
      </c>
      <c r="J64" s="5">
        <v>6.6</v>
      </c>
      <c r="K64">
        <f t="shared" si="1"/>
        <v>0.13542399999999999</v>
      </c>
      <c r="L64" s="6">
        <v>11.555199999999999</v>
      </c>
      <c r="M64">
        <f t="shared" si="2"/>
        <v>9</v>
      </c>
      <c r="N64">
        <f t="shared" si="3"/>
        <v>1</v>
      </c>
      <c r="O64">
        <f t="shared" si="4"/>
        <v>0</v>
      </c>
    </row>
    <row r="65" spans="1:15">
      <c r="A65" s="5" t="s">
        <v>21</v>
      </c>
      <c r="B65" s="5">
        <v>2018</v>
      </c>
      <c r="C65" s="5">
        <v>-14.5</v>
      </c>
      <c r="D65" s="5">
        <v>15</v>
      </c>
      <c r="E65" s="5">
        <v>0.36499999999999999</v>
      </c>
      <c r="F65" s="5">
        <v>3.4</v>
      </c>
      <c r="G65" s="1">
        <v>31.9</v>
      </c>
      <c r="H65" s="1">
        <v>0</v>
      </c>
      <c r="I65">
        <f t="shared" si="0"/>
        <v>108.46</v>
      </c>
      <c r="J65" s="5">
        <v>8.3000000000000007</v>
      </c>
      <c r="K65">
        <f t="shared" si="1"/>
        <v>0.13322499999999998</v>
      </c>
      <c r="L65" s="6">
        <v>11.6435</v>
      </c>
      <c r="M65">
        <f t="shared" si="2"/>
        <v>11.559999999999999</v>
      </c>
      <c r="N65">
        <f t="shared" si="3"/>
        <v>1</v>
      </c>
      <c r="O65">
        <f t="shared" si="4"/>
        <v>0</v>
      </c>
    </row>
    <row r="66" spans="1:15">
      <c r="A66" s="5" t="s">
        <v>21</v>
      </c>
      <c r="B66" s="5">
        <v>2019</v>
      </c>
      <c r="C66" s="5">
        <v>-15</v>
      </c>
      <c r="D66" s="5">
        <v>16.2</v>
      </c>
      <c r="E66" s="5">
        <v>0.36399999999999999</v>
      </c>
      <c r="F66" s="5">
        <v>2.9</v>
      </c>
      <c r="G66" s="1">
        <v>32.4</v>
      </c>
      <c r="H66" s="1">
        <v>1</v>
      </c>
      <c r="I66">
        <f t="shared" si="0"/>
        <v>93.96</v>
      </c>
      <c r="J66" s="5">
        <v>15</v>
      </c>
      <c r="K66">
        <f t="shared" si="1"/>
        <v>0.132496</v>
      </c>
      <c r="L66" s="6">
        <v>11.7936</v>
      </c>
      <c r="M66">
        <f t="shared" si="2"/>
        <v>8.41</v>
      </c>
      <c r="N66">
        <f t="shared" si="3"/>
        <v>1</v>
      </c>
      <c r="O66">
        <f t="shared" si="4"/>
        <v>0</v>
      </c>
    </row>
    <row r="67" spans="1:15">
      <c r="A67" s="5" t="s">
        <v>21</v>
      </c>
      <c r="B67" s="5">
        <v>2020</v>
      </c>
      <c r="C67" s="5">
        <v>-19.3</v>
      </c>
      <c r="D67" s="5">
        <v>20.3</v>
      </c>
      <c r="E67" s="5">
        <v>0.36299999999999999</v>
      </c>
      <c r="F67" s="5">
        <v>2.1</v>
      </c>
      <c r="G67" s="1">
        <v>32.299999999999997</v>
      </c>
      <c r="H67" s="1">
        <v>1</v>
      </c>
      <c r="I67">
        <f t="shared" ref="I67:I81" si="5">F67*G67</f>
        <v>67.83</v>
      </c>
      <c r="J67" s="5">
        <v>16.2</v>
      </c>
      <c r="K67">
        <f t="shared" ref="K67:K81" si="6">E67^2</f>
        <v>0.131769</v>
      </c>
      <c r="L67" s="6">
        <v>11.7249</v>
      </c>
      <c r="M67">
        <f t="shared" ref="M67:M81" si="7">F67*F67</f>
        <v>4.41</v>
      </c>
      <c r="N67">
        <f t="shared" ref="N67:N81" si="8">IF(OR(A67="An Giang",A67="Kiên Giang",A67="Vĩnh Long",A67="Đồng Tháp",A67="Sóc Trăng",A67="Bạc Liêu"),1,0)</f>
        <v>1</v>
      </c>
      <c r="O67">
        <f t="shared" ref="O67:O81" si="9">IF(OR(A67="Hồ Chí Minh"),1,0)</f>
        <v>0</v>
      </c>
    </row>
    <row r="68" spans="1:15">
      <c r="A68" s="5" t="s">
        <v>21</v>
      </c>
      <c r="B68" s="5">
        <v>2021</v>
      </c>
      <c r="C68" s="5">
        <v>-20.9</v>
      </c>
      <c r="D68" s="5">
        <v>21.8</v>
      </c>
      <c r="E68" s="5">
        <v>0.36599999999999999</v>
      </c>
      <c r="F68" s="5">
        <v>3.13</v>
      </c>
      <c r="G68" s="1">
        <v>32.5</v>
      </c>
      <c r="H68" s="1">
        <v>1</v>
      </c>
      <c r="I68">
        <f t="shared" si="5"/>
        <v>101.72499999999999</v>
      </c>
      <c r="J68" s="5">
        <v>20.3</v>
      </c>
      <c r="K68">
        <f t="shared" si="6"/>
        <v>0.13395599999999999</v>
      </c>
      <c r="L68" s="6">
        <v>11.895</v>
      </c>
      <c r="M68">
        <f t="shared" si="7"/>
        <v>9.7968999999999991</v>
      </c>
      <c r="N68">
        <f t="shared" si="8"/>
        <v>1</v>
      </c>
      <c r="O68">
        <f t="shared" si="9"/>
        <v>0</v>
      </c>
    </row>
    <row r="69" spans="1:15">
      <c r="A69" s="5" t="s">
        <v>21</v>
      </c>
      <c r="B69" s="5">
        <v>2022</v>
      </c>
      <c r="C69" s="5">
        <v>-14.6</v>
      </c>
      <c r="D69" s="5">
        <v>15.3</v>
      </c>
      <c r="E69" s="5">
        <v>0.36299999999999999</v>
      </c>
      <c r="F69" s="5">
        <v>3.37</v>
      </c>
      <c r="G69" s="1">
        <v>33.862000000000002</v>
      </c>
      <c r="H69" s="1">
        <v>1</v>
      </c>
      <c r="I69">
        <f t="shared" si="5"/>
        <v>114.11494</v>
      </c>
      <c r="J69" s="5">
        <v>21.8</v>
      </c>
      <c r="K69">
        <f t="shared" si="6"/>
        <v>0.131769</v>
      </c>
      <c r="L69" s="6">
        <v>12.291906000000001</v>
      </c>
      <c r="M69">
        <f t="shared" si="7"/>
        <v>11.356900000000001</v>
      </c>
      <c r="N69">
        <f t="shared" si="8"/>
        <v>1</v>
      </c>
      <c r="O69">
        <f t="shared" si="9"/>
        <v>0</v>
      </c>
    </row>
    <row r="70" spans="1:15">
      <c r="A70" s="5" t="s">
        <v>21</v>
      </c>
      <c r="B70" s="5">
        <v>2023</v>
      </c>
      <c r="C70" s="5">
        <v>-10.8</v>
      </c>
      <c r="D70" s="5">
        <v>13.3</v>
      </c>
      <c r="E70" s="5">
        <v>0.36299999999999999</v>
      </c>
      <c r="F70" s="5">
        <v>3.39</v>
      </c>
      <c r="G70" s="1">
        <v>33.866999999999997</v>
      </c>
      <c r="H70" s="1">
        <v>0</v>
      </c>
      <c r="I70">
        <f t="shared" si="5"/>
        <v>114.80913</v>
      </c>
      <c r="J70" s="5">
        <v>15.3</v>
      </c>
      <c r="K70">
        <f t="shared" si="6"/>
        <v>0.131769</v>
      </c>
      <c r="L70" s="6">
        <v>12.293721</v>
      </c>
      <c r="M70">
        <f t="shared" si="7"/>
        <v>11.492100000000001</v>
      </c>
      <c r="N70">
        <f t="shared" si="8"/>
        <v>1</v>
      </c>
      <c r="O70">
        <f t="shared" si="9"/>
        <v>0</v>
      </c>
    </row>
    <row r="71" spans="1:15">
      <c r="A71" s="5" t="s">
        <v>21</v>
      </c>
      <c r="B71" s="5">
        <v>2024</v>
      </c>
      <c r="C71" s="5">
        <v>-14.5</v>
      </c>
      <c r="D71" s="5">
        <v>16.7</v>
      </c>
      <c r="E71" s="5">
        <v>0.36499999999999999</v>
      </c>
      <c r="F71" s="5">
        <v>3.58</v>
      </c>
      <c r="G71" s="1">
        <v>34.1</v>
      </c>
      <c r="H71" s="1">
        <v>0</v>
      </c>
      <c r="I71">
        <f t="shared" si="5"/>
        <v>122.078</v>
      </c>
      <c r="J71" s="5">
        <v>13.3</v>
      </c>
      <c r="K71">
        <f t="shared" si="6"/>
        <v>0.13322499999999998</v>
      </c>
      <c r="L71" s="6">
        <v>12.4465</v>
      </c>
      <c r="M71">
        <f t="shared" si="7"/>
        <v>12.8164</v>
      </c>
      <c r="N71">
        <f t="shared" si="8"/>
        <v>1</v>
      </c>
      <c r="O71">
        <f t="shared" si="9"/>
        <v>0</v>
      </c>
    </row>
    <row r="72" spans="1:15">
      <c r="A72" s="5" t="s">
        <v>22</v>
      </c>
      <c r="B72" s="5">
        <v>2015</v>
      </c>
      <c r="C72" s="5">
        <v>-6.3</v>
      </c>
      <c r="D72" s="5">
        <v>7.6</v>
      </c>
      <c r="E72" s="5">
        <v>0.33200000000000002</v>
      </c>
      <c r="F72" s="5">
        <v>3.7</v>
      </c>
      <c r="G72" s="1">
        <v>27.2</v>
      </c>
      <c r="H72" s="1">
        <v>0</v>
      </c>
      <c r="I72">
        <f t="shared" si="5"/>
        <v>100.64</v>
      </c>
      <c r="J72">
        <v>0</v>
      </c>
      <c r="K72">
        <f t="shared" si="6"/>
        <v>0.11022400000000002</v>
      </c>
      <c r="L72" s="6">
        <v>9.0304000000000002</v>
      </c>
      <c r="M72">
        <f t="shared" si="7"/>
        <v>13.690000000000001</v>
      </c>
      <c r="N72">
        <f t="shared" si="8"/>
        <v>1</v>
      </c>
      <c r="O72">
        <f t="shared" si="9"/>
        <v>0</v>
      </c>
    </row>
    <row r="73" spans="1:15">
      <c r="A73" s="5" t="s">
        <v>22</v>
      </c>
      <c r="B73" s="5">
        <v>2016</v>
      </c>
      <c r="C73" s="5">
        <v>-6.8</v>
      </c>
      <c r="D73" s="5">
        <v>7.5</v>
      </c>
      <c r="E73" s="5">
        <v>0.33500000000000002</v>
      </c>
      <c r="F73" s="5">
        <v>3.8</v>
      </c>
      <c r="G73" s="1">
        <v>27.3</v>
      </c>
      <c r="H73" s="1">
        <v>0</v>
      </c>
      <c r="I73">
        <f t="shared" si="5"/>
        <v>103.74</v>
      </c>
      <c r="J73" s="5">
        <v>7.6</v>
      </c>
      <c r="K73">
        <f t="shared" si="6"/>
        <v>0.11222500000000002</v>
      </c>
      <c r="L73" s="6">
        <v>9.1455000000000002</v>
      </c>
      <c r="M73">
        <f t="shared" si="7"/>
        <v>14.44</v>
      </c>
      <c r="N73">
        <f t="shared" si="8"/>
        <v>1</v>
      </c>
      <c r="O73">
        <f t="shared" si="9"/>
        <v>0</v>
      </c>
    </row>
    <row r="74" spans="1:15">
      <c r="A74" s="5" t="s">
        <v>22</v>
      </c>
      <c r="B74" s="5">
        <v>2017</v>
      </c>
      <c r="C74" s="5">
        <v>-4</v>
      </c>
      <c r="D74" s="5">
        <v>4.4000000000000004</v>
      </c>
      <c r="E74" s="5">
        <v>0.33600000000000002</v>
      </c>
      <c r="F74" s="5">
        <v>3.8</v>
      </c>
      <c r="G74" s="1">
        <v>27.5</v>
      </c>
      <c r="H74" s="1">
        <v>0</v>
      </c>
      <c r="I74">
        <f t="shared" si="5"/>
        <v>104.5</v>
      </c>
      <c r="J74" s="5">
        <v>7.5</v>
      </c>
      <c r="K74">
        <f t="shared" si="6"/>
        <v>0.11289600000000001</v>
      </c>
      <c r="L74" s="6">
        <v>9.24</v>
      </c>
      <c r="M74">
        <f t="shared" si="7"/>
        <v>14.44</v>
      </c>
      <c r="N74">
        <f t="shared" si="8"/>
        <v>1</v>
      </c>
      <c r="O74">
        <f t="shared" si="9"/>
        <v>0</v>
      </c>
    </row>
    <row r="75" spans="1:15">
      <c r="A75" s="5" t="s">
        <v>22</v>
      </c>
      <c r="B75" s="5">
        <v>2018</v>
      </c>
      <c r="C75" s="5">
        <v>-6.7</v>
      </c>
      <c r="D75" s="5">
        <v>6.9</v>
      </c>
      <c r="E75" s="5">
        <v>0.33800000000000002</v>
      </c>
      <c r="F75" s="5">
        <v>3.6</v>
      </c>
      <c r="G75" s="1">
        <v>27.6</v>
      </c>
      <c r="H75" s="1">
        <v>0</v>
      </c>
      <c r="I75">
        <f t="shared" si="5"/>
        <v>99.360000000000014</v>
      </c>
      <c r="J75" s="5">
        <v>4.4000000000000004</v>
      </c>
      <c r="K75">
        <f t="shared" si="6"/>
        <v>0.11424400000000001</v>
      </c>
      <c r="L75" s="6">
        <v>9.3287999999999993</v>
      </c>
      <c r="M75">
        <f t="shared" si="7"/>
        <v>12.96</v>
      </c>
      <c r="N75">
        <f t="shared" si="8"/>
        <v>1</v>
      </c>
      <c r="O75">
        <f t="shared" si="9"/>
        <v>0</v>
      </c>
    </row>
    <row r="76" spans="1:15">
      <c r="A76" s="5" t="s">
        <v>22</v>
      </c>
      <c r="B76" s="5">
        <v>2019</v>
      </c>
      <c r="C76" s="5">
        <v>-10.4</v>
      </c>
      <c r="D76" s="5">
        <v>11.8</v>
      </c>
      <c r="E76" s="5">
        <v>0.34</v>
      </c>
      <c r="F76" s="5">
        <v>3.7</v>
      </c>
      <c r="G76" s="1">
        <v>27.8</v>
      </c>
      <c r="H76" s="1">
        <v>1</v>
      </c>
      <c r="I76">
        <f t="shared" si="5"/>
        <v>102.86000000000001</v>
      </c>
      <c r="J76" s="5">
        <v>6.9</v>
      </c>
      <c r="K76">
        <f t="shared" si="6"/>
        <v>0.11560000000000002</v>
      </c>
      <c r="L76" s="6">
        <v>9.452</v>
      </c>
      <c r="M76">
        <f t="shared" si="7"/>
        <v>13.690000000000001</v>
      </c>
      <c r="N76">
        <f t="shared" si="8"/>
        <v>1</v>
      </c>
      <c r="O76">
        <f t="shared" si="9"/>
        <v>0</v>
      </c>
    </row>
    <row r="77" spans="1:15">
      <c r="A77" s="5" t="s">
        <v>22</v>
      </c>
      <c r="B77" s="5">
        <v>2020</v>
      </c>
      <c r="C77" s="5">
        <v>-13.3</v>
      </c>
      <c r="D77" s="5">
        <v>16.600000000000001</v>
      </c>
      <c r="E77" s="5">
        <v>0.34200000000000003</v>
      </c>
      <c r="F77" s="5">
        <v>3.5</v>
      </c>
      <c r="G77" s="1">
        <v>27.8</v>
      </c>
      <c r="H77" s="1">
        <v>1</v>
      </c>
      <c r="I77">
        <f t="shared" si="5"/>
        <v>97.3</v>
      </c>
      <c r="J77" s="5">
        <v>11.8</v>
      </c>
      <c r="K77">
        <f t="shared" si="6"/>
        <v>0.11696400000000001</v>
      </c>
      <c r="L77" s="6">
        <v>9.5076000000000001</v>
      </c>
      <c r="M77">
        <f t="shared" si="7"/>
        <v>12.25</v>
      </c>
      <c r="N77">
        <f t="shared" si="8"/>
        <v>1</v>
      </c>
      <c r="O77">
        <f t="shared" si="9"/>
        <v>0</v>
      </c>
    </row>
    <row r="78" spans="1:15">
      <c r="A78" s="5" t="s">
        <v>22</v>
      </c>
      <c r="B78" s="5">
        <v>2021</v>
      </c>
      <c r="C78" s="5">
        <v>-17.600000000000001</v>
      </c>
      <c r="D78" s="5">
        <v>17.899999999999999</v>
      </c>
      <c r="E78" s="5">
        <v>0.34399999999999997</v>
      </c>
      <c r="F78" s="5">
        <v>2.4</v>
      </c>
      <c r="G78" s="1">
        <v>27.7</v>
      </c>
      <c r="H78" s="1">
        <v>1</v>
      </c>
      <c r="I78">
        <f t="shared" si="5"/>
        <v>66.47999999999999</v>
      </c>
      <c r="J78" s="5">
        <v>16.600000000000001</v>
      </c>
      <c r="K78">
        <f t="shared" si="6"/>
        <v>0.11833599999999998</v>
      </c>
      <c r="L78" s="6">
        <v>9.5288000000000004</v>
      </c>
      <c r="M78">
        <f t="shared" si="7"/>
        <v>5.76</v>
      </c>
      <c r="N78">
        <f t="shared" si="8"/>
        <v>1</v>
      </c>
      <c r="O78">
        <f t="shared" si="9"/>
        <v>0</v>
      </c>
    </row>
    <row r="79" spans="1:15">
      <c r="A79" s="5" t="s">
        <v>22</v>
      </c>
      <c r="B79" s="5">
        <v>2022</v>
      </c>
      <c r="C79" s="5">
        <v>-6.4</v>
      </c>
      <c r="D79" s="5">
        <v>6.7</v>
      </c>
      <c r="E79" s="5">
        <v>0.34599999999999997</v>
      </c>
      <c r="F79" s="5">
        <v>2.12</v>
      </c>
      <c r="G79" s="1">
        <v>27.76</v>
      </c>
      <c r="H79" s="1">
        <v>1</v>
      </c>
      <c r="I79">
        <f t="shared" si="5"/>
        <v>58.851200000000006</v>
      </c>
      <c r="J79" s="5">
        <v>17.899999999999999</v>
      </c>
      <c r="K79">
        <f t="shared" si="6"/>
        <v>0.11971599999999999</v>
      </c>
      <c r="L79" s="6">
        <v>9.6049600000000002</v>
      </c>
      <c r="M79">
        <f t="shared" si="7"/>
        <v>4.4944000000000006</v>
      </c>
      <c r="N79">
        <f t="shared" si="8"/>
        <v>1</v>
      </c>
      <c r="O79">
        <f t="shared" si="9"/>
        <v>0</v>
      </c>
    </row>
    <row r="80" spans="1:15">
      <c r="A80" s="5" t="s">
        <v>22</v>
      </c>
      <c r="B80" s="5">
        <v>2023</v>
      </c>
      <c r="C80" s="5">
        <v>-6.4</v>
      </c>
      <c r="D80" s="5">
        <v>10.8</v>
      </c>
      <c r="E80" s="5">
        <v>0.34699999999999998</v>
      </c>
      <c r="F80" s="5">
        <v>2.0499999999999998</v>
      </c>
      <c r="G80" s="1">
        <v>27.75</v>
      </c>
      <c r="H80" s="1">
        <v>0</v>
      </c>
      <c r="I80">
        <f t="shared" si="5"/>
        <v>56.887499999999996</v>
      </c>
      <c r="J80" s="5">
        <v>6.7</v>
      </c>
      <c r="K80">
        <f t="shared" si="6"/>
        <v>0.12040899999999999</v>
      </c>
      <c r="L80" s="6">
        <v>9.6292500000000008</v>
      </c>
      <c r="M80">
        <f t="shared" si="7"/>
        <v>4.2024999999999997</v>
      </c>
      <c r="N80">
        <f t="shared" si="8"/>
        <v>1</v>
      </c>
      <c r="O80">
        <f t="shared" si="9"/>
        <v>0</v>
      </c>
    </row>
    <row r="81" spans="1:15">
      <c r="A81" s="5" t="s">
        <v>22</v>
      </c>
      <c r="B81" s="5">
        <v>2024</v>
      </c>
      <c r="C81" s="5">
        <v>-6.6</v>
      </c>
      <c r="D81" s="5">
        <v>9.8000000000000007</v>
      </c>
      <c r="E81" s="5">
        <v>0.34799999999999998</v>
      </c>
      <c r="F81" s="5">
        <v>2.34</v>
      </c>
      <c r="G81" s="1">
        <v>27.77</v>
      </c>
      <c r="H81" s="1">
        <v>0</v>
      </c>
      <c r="I81">
        <f t="shared" si="5"/>
        <v>64.981799999999993</v>
      </c>
      <c r="J81" s="5">
        <v>10.8</v>
      </c>
      <c r="K81">
        <f t="shared" si="6"/>
        <v>0.12110399999999999</v>
      </c>
      <c r="L81" s="6">
        <v>9.6639599999999994</v>
      </c>
      <c r="M81">
        <f t="shared" si="7"/>
        <v>5.4755999999999991</v>
      </c>
      <c r="N81">
        <f t="shared" si="8"/>
        <v>1</v>
      </c>
      <c r="O81">
        <f t="shared" si="9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 Phuc Khang</dc:creator>
  <cp:keywords/>
  <dc:description/>
  <cp:lastModifiedBy>Than Phuc Khang</cp:lastModifiedBy>
  <cp:revision/>
  <dcterms:created xsi:type="dcterms:W3CDTF">2026-03-24T04:07:45Z</dcterms:created>
  <dcterms:modified xsi:type="dcterms:W3CDTF">2026-04-13T08:26:15Z</dcterms:modified>
  <cp:category/>
  <cp:contentStatus/>
</cp:coreProperties>
</file>